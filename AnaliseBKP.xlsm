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slicers/slicer2.xml" ContentType="application/vnd.ms-excel.slicer+xml"/>
  <Override PartName="/xl/comments2.xml" ContentType="application/vnd.openxmlformats-officedocument.spreadsheetml.comments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4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5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slicers/slicer3.xml" ContentType="application/vnd.ms-excel.slicer+xml"/>
  <Override PartName="/xl/charts/chartEx6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hris\Documents\"/>
    </mc:Choice>
  </mc:AlternateContent>
  <xr:revisionPtr revIDLastSave="0" documentId="8_{14A2CC11-C5FF-43ED-99B0-F5E51228BAAA}" xr6:coauthVersionLast="45" xr6:coauthVersionMax="45" xr10:uidLastSave="{00000000-0000-0000-0000-000000000000}"/>
  <bookViews>
    <workbookView xWindow="-120" yWindow="-120" windowWidth="29040" windowHeight="15840" firstSheet="4" activeTab="6" xr2:uid="{00000000-000D-0000-FFFF-FFFF00000000}"/>
  </bookViews>
  <sheets>
    <sheet name="DataBase" sheetId="1" state="hidden" r:id="rId1"/>
    <sheet name="Summary" sheetId="2" state="hidden" r:id="rId2"/>
    <sheet name="Tab. Dinâmica" sheetId="6" state="hidden" r:id="rId3"/>
    <sheet name="Teste" sheetId="29" state="hidden" r:id="rId4"/>
    <sheet name="Arquivos" sheetId="17" r:id="rId5"/>
    <sheet name="Protheus" sheetId="18" r:id="rId6"/>
    <sheet name="Dashboard" sheetId="22" r:id="rId7"/>
    <sheet name="Banco de Dados" sheetId="8" r:id="rId8"/>
    <sheet name="Planilha13" sheetId="19" state="hidden" r:id="rId9"/>
    <sheet name="Planilha1" sheetId="21" state="hidden" r:id="rId10"/>
    <sheet name="Arquivos att" sheetId="37" r:id="rId11"/>
    <sheet name="Protheus att" sheetId="34" r:id="rId12"/>
  </sheets>
  <definedNames>
    <definedName name="_xlchart.v2.0" hidden="1">Arquivos!$G$4:$G$113</definedName>
    <definedName name="_xlchart.v2.1" hidden="1">Arquivos!$H$3</definedName>
    <definedName name="_xlchart.v2.10" hidden="1">Arquivos!$H$3</definedName>
    <definedName name="_xlchart.v2.11" hidden="1">Arquivos!$H$4:$H$113</definedName>
    <definedName name="_xlchart.v2.12" hidden="1">'Banco de Dados'!$G$4:$G$5</definedName>
    <definedName name="_xlchart.v2.13" hidden="1">'Banco de Dados'!$H$3</definedName>
    <definedName name="_xlchart.v2.14" hidden="1">'Banco de Dados'!$H$4:$H$5</definedName>
    <definedName name="_xlchart.v2.15" hidden="1">'Banco de Dados'!$G$4:$G$5</definedName>
    <definedName name="_xlchart.v2.16" hidden="1">'Banco de Dados'!$H$3</definedName>
    <definedName name="_xlchart.v2.17" hidden="1">'Banco de Dados'!$H$4:$H$5</definedName>
    <definedName name="_xlchart.v2.2" hidden="1">Arquivos!$H$4:$H$113</definedName>
    <definedName name="_xlchart.v2.3" hidden="1">Protheus!$G$4:$G$109</definedName>
    <definedName name="_xlchart.v2.4" hidden="1">Protheus!$H$3</definedName>
    <definedName name="_xlchart.v2.5" hidden="1">Protheus!$H$4:$H$109</definedName>
    <definedName name="_xlchart.v2.6" hidden="1">Protheus!$G$4:$G$109</definedName>
    <definedName name="_xlchart.v2.7" hidden="1">Protheus!$H$3</definedName>
    <definedName name="_xlchart.v2.8" hidden="1">Protheus!$H$4:$H$109</definedName>
    <definedName name="_xlchart.v2.9" hidden="1">Arquivos!$G$4:$G$113</definedName>
    <definedName name="_xlcn.WorksheetConnection_AnaliseBKP.xlsxProtheus_ATT1" hidden="1">Protheus_ATT[]</definedName>
    <definedName name="_xlnm.Print_Area" localSheetId="6">Dashboard!$A$1:$Z$27</definedName>
    <definedName name="DadosExternos_3" localSheetId="11" hidden="1">'Protheus att'!$A$1:$L$2</definedName>
    <definedName name="DadosExternos_4" localSheetId="10" hidden="1">'Arquivos att'!$A$1:$L$2</definedName>
    <definedName name="SegmentaçãodeDados_DATA">#N/A</definedName>
    <definedName name="SegmentaçãodeDados_DATA1">#N/A</definedName>
    <definedName name="SegmentaçãodeDados_DATA11">#N/A</definedName>
    <definedName name="SegmentaçãodeDados_TIPO1">#N/A</definedName>
    <definedName name="SegmentaçãodeDados_TIPO11">#N/A</definedName>
    <definedName name="SegmentaçãodeDados_TIPO111">#N/A</definedName>
  </definedNames>
  <calcPr calcId="191029"/>
  <pivotCaches>
    <pivotCache cacheId="0" r:id="rId13"/>
    <pivotCache cacheId="1" r:id="rId14"/>
    <pivotCache cacheId="2" r:id="rId1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ogFile_95567a03-ef2b-4d89-9c26-bd997e645ae6" name="LogFile" connection="Text LogFile"/>
          <x15:modelTable id="Protheus_ATT" name="Protheus_ATT" connection="WorksheetConnection_AnaliseBKP.xlsx!Protheus_AT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0" i="18" l="1"/>
  <c r="P10" i="18"/>
  <c r="O10" i="18"/>
  <c r="N10" i="18"/>
  <c r="M10" i="18"/>
  <c r="P21" i="17" l="1"/>
  <c r="O21" i="17"/>
  <c r="P10" i="8" l="1"/>
  <c r="G1" i="22" l="1"/>
  <c r="C1" i="22"/>
  <c r="R10" i="8" l="1"/>
  <c r="V7" i="22" s="1"/>
  <c r="Q10" i="8"/>
  <c r="R14" i="22" s="1"/>
  <c r="R7" i="22"/>
  <c r="O10" i="8"/>
  <c r="N10" i="8"/>
  <c r="W1" i="22" s="1"/>
  <c r="M10" i="8"/>
  <c r="N7" i="22"/>
  <c r="J14" i="22"/>
  <c r="J7" i="22"/>
  <c r="O1" i="22"/>
  <c r="L10" i="18"/>
  <c r="R21" i="17"/>
  <c r="B14" i="22" s="1"/>
  <c r="N21" i="17"/>
  <c r="Q21" i="17"/>
  <c r="B7" i="22" s="1"/>
  <c r="N4" i="17"/>
  <c r="B21" i="22" s="1"/>
  <c r="S21" i="17"/>
  <c r="F7" i="22" s="1"/>
  <c r="S10" i="8" l="1"/>
  <c r="R21" i="22" s="1"/>
  <c r="M4" i="18"/>
  <c r="J21" i="22" s="1"/>
  <c r="H7" i="19"/>
  <c r="N8" i="17"/>
  <c r="O8" i="17"/>
  <c r="O1" i="19" s="1"/>
  <c r="P8" i="17"/>
  <c r="Q8" i="17"/>
  <c r="R8" i="17"/>
  <c r="H13" i="19" s="1"/>
  <c r="S8" i="17"/>
  <c r="M7" i="19" s="1"/>
  <c r="C13" i="19" l="1"/>
  <c r="C7" i="19"/>
  <c r="Q29" i="2" l="1"/>
  <c r="E8" i="2"/>
  <c r="F8" i="2" s="1"/>
  <c r="G27" i="1"/>
  <c r="F27" i="1"/>
  <c r="G18" i="1"/>
  <c r="F18" i="1"/>
  <c r="G9" i="1"/>
  <c r="F7" i="1"/>
  <c r="F6" i="1"/>
  <c r="F21" i="2"/>
  <c r="F19" i="2"/>
  <c r="E11" i="2"/>
  <c r="I19" i="2"/>
  <c r="I18" i="2"/>
  <c r="K18" i="2"/>
  <c r="E20" i="2"/>
  <c r="E22" i="2"/>
  <c r="J20" i="2"/>
  <c r="G22" i="2"/>
  <c r="E21" i="2"/>
  <c r="I22" i="2"/>
  <c r="H22" i="2"/>
  <c r="E18" i="2"/>
  <c r="G17" i="2"/>
  <c r="F18" i="2"/>
  <c r="G19" i="2"/>
  <c r="J22" i="2"/>
  <c r="I21" i="2"/>
  <c r="E12" i="2"/>
  <c r="L18" i="2"/>
  <c r="H21" i="2"/>
  <c r="H18" i="2"/>
  <c r="J17" i="2"/>
  <c r="F17" i="2"/>
  <c r="G21" i="2"/>
  <c r="K21" i="2"/>
  <c r="H19" i="2"/>
  <c r="L17" i="2"/>
  <c r="J21" i="2"/>
  <c r="F20" i="2"/>
  <c r="H20" i="2"/>
  <c r="L22" i="2"/>
  <c r="H17" i="2"/>
  <c r="L21" i="2"/>
  <c r="I17" i="2"/>
  <c r="K22" i="2"/>
  <c r="L20" i="2"/>
  <c r="E19" i="2"/>
  <c r="K20" i="2"/>
  <c r="E10" i="2"/>
  <c r="I20" i="2"/>
  <c r="J18" i="2"/>
  <c r="F22" i="2"/>
  <c r="L19" i="2"/>
  <c r="G18" i="2"/>
  <c r="E17" i="2"/>
  <c r="G20" i="2"/>
  <c r="K17" i="2"/>
  <c r="J19" i="2"/>
  <c r="K19" i="2"/>
  <c r="T14" i="2" l="1"/>
  <c r="G21" i="1"/>
  <c r="F9" i="1"/>
  <c r="T11" i="2" s="1"/>
  <c r="G8" i="2"/>
  <c r="T17" i="2"/>
  <c r="G20" i="1"/>
  <c r="T16" i="2" s="1"/>
  <c r="G12" i="1"/>
  <c r="G11" i="1"/>
  <c r="T13" i="2" s="1"/>
  <c r="F12" i="2"/>
  <c r="F11" i="2"/>
  <c r="F10" i="2"/>
  <c r="S30" i="2"/>
  <c r="G3" i="1" l="1"/>
  <c r="G2" i="1"/>
  <c r="T10" i="2" s="1"/>
  <c r="H8" i="2"/>
  <c r="G10" i="2"/>
  <c r="G12" i="2"/>
  <c r="G11" i="2"/>
  <c r="I8" i="2" l="1"/>
  <c r="H11" i="2"/>
  <c r="H10" i="2"/>
  <c r="H12" i="2"/>
  <c r="J8" i="2" l="1"/>
  <c r="I11" i="2"/>
  <c r="I12" i="2"/>
  <c r="I10" i="2"/>
  <c r="K8" i="2" l="1"/>
  <c r="J12" i="2"/>
  <c r="J10" i="2"/>
  <c r="J11" i="2"/>
  <c r="L8" i="2" l="1"/>
  <c r="L12" i="2"/>
  <c r="L10" i="2"/>
  <c r="L11" i="2"/>
  <c r="K10" i="2"/>
  <c r="K11" i="2"/>
  <c r="K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MARIM</author>
  </authors>
  <commentList>
    <comment ref="G10" authorId="0" shapeId="0" xr:uid="{B1F0C2C7-54A7-46C7-B2D7-347D95BAAE59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Número de arquivos que produziram erros: 35424
"Espaço insuficente"
</t>
        </r>
      </text>
    </comment>
    <comment ref="G12" authorId="0" shapeId="0" xr:uid="{F07D76A2-F99B-4348-B6E4-E00D691DD333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Número de arquivos que produziram erros: 35561
"Espaço insuficente"
</t>
        </r>
      </text>
    </comment>
    <comment ref="G13" authorId="0" shapeId="0" xr:uid="{28FBD980-B6FC-4E71-A356-A860270DEC22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Número de arquivos que produziram erros: 35619
"Espaço insuciente"
</t>
        </r>
      </text>
    </comment>
    <comment ref="G14" authorId="0" shapeId="0" xr:uid="{5254B90B-2DE9-422B-A3DC-32B4D7189703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Número de arquivos que produziram erros: 2317</t>
        </r>
      </text>
    </comment>
    <comment ref="G15" authorId="0" shapeId="0" xr:uid="{BB817A87-D120-4F19-8CB7-293AF1496F57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Espaço insuficiente</t>
        </r>
      </text>
    </comment>
    <comment ref="G16" authorId="0" shapeId="0" xr:uid="{2F8F9083-E099-4898-B2E2-93704457B399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Espaço insuficiente</t>
        </r>
      </text>
    </comment>
    <comment ref="G17" authorId="0" shapeId="0" xr:uid="{3FA0871F-B948-41D7-A9CE-1C2F8B0F015A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21" authorId="0" shapeId="0" xr:uid="{98F2874E-1C66-4185-A4D7-56A6EE45C0D5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Espaço insuficente 
</t>
        </r>
      </text>
    </comment>
    <comment ref="G22" authorId="0" shapeId="0" xr:uid="{634F1D64-CEB1-46C4-877A-D38670FB27BC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Espaço insuficiente</t>
        </r>
      </text>
    </comment>
    <comment ref="G23" authorId="0" shapeId="0" xr:uid="{731E695A-7077-436A-A4FB-E464E686BEE6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Espaço insuficiente
</t>
        </r>
      </text>
    </comment>
    <comment ref="G24" authorId="0" shapeId="0" xr:uid="{9EB83364-EC85-4A9B-A0A8-66EB4BB0FDAE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Espaço insuficiente</t>
        </r>
      </text>
    </comment>
    <comment ref="G25" authorId="0" shapeId="0" xr:uid="{EBD3F1AD-726E-448E-8A7E-0A1F60E84E26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Espaço insuficiente</t>
        </r>
      </text>
    </comment>
    <comment ref="G26" authorId="0" shapeId="0" xr:uid="{931D225A-8668-4536-AEB4-DB61B40B9FFE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Espaço insuficiente</t>
        </r>
      </text>
    </comment>
    <comment ref="G55" authorId="0" shapeId="0" xr:uid="{CC59BDD8-FC9C-40A6-A7C4-D7072615E777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Motivo: 
Espaço insuficiente.</t>
        </r>
      </text>
    </comment>
    <comment ref="G56" authorId="0" shapeId="0" xr:uid="{DA6C3CAF-3C09-4A85-BA69-91CFB41ADD45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Motivo: 
Espaço insuficiente.</t>
        </r>
      </text>
    </comment>
    <comment ref="G57" authorId="0" shapeId="0" xr:uid="{9BA4D7C9-9221-4D30-80ED-214479A5807C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Motivo: 
Espaço insuficiente.</t>
        </r>
      </text>
    </comment>
    <comment ref="G58" authorId="0" shapeId="0" xr:uid="{993EB4C7-A95F-4DEA-811E-609BD2BC6384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Motivo: 
Espaço insuficiente.</t>
        </r>
      </text>
    </comment>
    <comment ref="G71" authorId="0" shapeId="0" xr:uid="{A97EA3F1-89E8-4FC2-90E8-D5F0B12AC3AF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Espaço insuficuente</t>
        </r>
      </text>
    </comment>
    <comment ref="G72" authorId="0" shapeId="0" xr:uid="{F1307C72-26B3-43C5-B175-E4DEA7D0D896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Espaço insuficien
e</t>
        </r>
      </text>
    </comment>
    <comment ref="G80" authorId="0" shapeId="0" xr:uid="{28331466-072B-4407-9750-6E8FB09E097A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Espaço insuficiente</t>
        </r>
      </text>
    </comment>
    <comment ref="G81" authorId="0" shapeId="0" xr:uid="{A50C1D8A-9FE5-44DE-8348-77292FFF8122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Espaço insuficiente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MARIM</author>
  </authors>
  <commentList>
    <comment ref="G7" authorId="0" shapeId="0" xr:uid="{C6CCA346-9850-4FF7-94BF-4D3EF201A3B1}">
      <text>
        <r>
          <rPr>
            <sz val="9"/>
            <color indexed="81"/>
            <rFont val="Segoe UI"/>
            <family val="2"/>
          </rPr>
          <t xml:space="preserve">1 Erro: 
\\192.168.0.11\totvs 12\PROTHEUS\Microsiga\protheus_data\system\ljgr0106.wrk (O arquivo já está sendo usado por outro processo) (05/05/2019 05:54:41)
</t>
        </r>
      </text>
    </comment>
    <comment ref="G8" authorId="0" shapeId="0" xr:uid="{3E3981A1-F5A9-4AB6-BA52-3FCF6F6EE0BE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Número de arquivos que produziram erros: 96521</t>
        </r>
      </text>
    </comment>
    <comment ref="G10" authorId="0" shapeId="0" xr:uid="{BF0E8255-E801-4F25-AA16-EC939D478FCD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97026 erros
</t>
        </r>
      </text>
    </comment>
    <comment ref="G11" authorId="0" shapeId="0" xr:uid="{FF577C6D-D515-47CB-A08D-A02973890A9B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Número de arquivos que produziram erros: 97196</t>
        </r>
      </text>
    </comment>
    <comment ref="G13" authorId="0" shapeId="0" xr:uid="{1BD6CC35-CED2-4A6B-8478-9BBD6EB9B17C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Número de arquivos que produziram erros: 97776</t>
        </r>
      </text>
    </comment>
    <comment ref="G15" authorId="0" shapeId="0" xr:uid="{07899C26-BB2B-4E01-8130-80A9ED8C62F5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Número de arquivos que produziram erros: 97860  
"Espaço insuficiente"</t>
        </r>
      </text>
    </comment>
    <comment ref="G17" authorId="0" shapeId="0" xr:uid="{4D19ECF4-BA5D-474B-8285-2735A9DF9EA0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2 arquivos sendo usados em outros processos
</t>
        </r>
      </text>
    </comment>
    <comment ref="G18" authorId="0" shapeId="0" xr:uid="{2A3A8CAE-431A-4789-9CB8-7B3358C4A668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2 arquivos sendo usados em outros processos
</t>
        </r>
      </text>
    </comment>
    <comment ref="G19" authorId="0" shapeId="0" xr:uid="{D75DE8B4-3173-4AB7-9107-9C1A29BA37D0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Espaço insuficiente
</t>
        </r>
      </text>
    </comment>
    <comment ref="G20" authorId="0" shapeId="0" xr:uid="{022F6572-5582-4413-AAE7-0B78C203373F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Espaço insuficiente</t>
        </r>
      </text>
    </comment>
    <comment ref="G21" authorId="0" shapeId="0" xr:uid="{C464E611-F763-4F47-8D4C-62B640B98631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Espaço insuficiente</t>
        </r>
      </text>
    </comment>
    <comment ref="G22" authorId="0" shapeId="0" xr:uid="{DA2AFC2B-C52D-4BE8-B974-86FB8E37DF1C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Espaço insuficiente</t>
        </r>
      </text>
    </comment>
    <comment ref="G23" authorId="0" shapeId="0" xr:uid="{68DB31D6-869D-41B2-8EC5-2E1682341BCD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Espaço insuficiente</t>
        </r>
      </text>
    </comment>
    <comment ref="G24" authorId="0" shapeId="0" xr:uid="{8FD6C49B-F739-464F-9330-5971F14D0317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Espaço insuficiente
</t>
        </r>
      </text>
    </comment>
    <comment ref="G55" authorId="0" shapeId="0" xr:uid="{67B6FB2E-564E-47AB-99C5-551C222B94C3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Número de arquivos que produziram erros: 11489
motivo:
Espaço  insuficiente
</t>
        </r>
      </text>
    </comment>
    <comment ref="G56" authorId="0" shapeId="0" xr:uid="{07CFB60D-2606-45FF-9BD5-9C55DA35FC2A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Número de arquivos que produziram erros: 100127
Motivo: 
Espaço insuficiente
</t>
        </r>
      </text>
    </comment>
    <comment ref="G68" authorId="0" shapeId="0" xr:uid="{EF3A4E04-4A6C-44B4-A72F-4384404EEB28}">
      <text>
        <r>
          <rPr>
            <b/>
            <sz val="9"/>
            <color indexed="81"/>
            <rFont val="Segoe UI"/>
            <charset val="1"/>
          </rPr>
          <t>CHRISTOPHER MARIM:</t>
        </r>
        <r>
          <rPr>
            <sz val="9"/>
            <color indexed="81"/>
            <rFont val="Segoe UI"/>
            <charset val="1"/>
          </rPr>
          <t xml:space="preserve">
Falta de espaço</t>
        </r>
      </text>
    </comment>
    <comment ref="G78" authorId="0" shapeId="0" xr:uid="{77039199-BBF3-4E55-A60A-34B80EE8648D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Espaço insuficiente</t>
        </r>
      </text>
    </comment>
    <comment ref="G79" authorId="0" shapeId="0" xr:uid="{3BDE1B01-CB6D-4244-89E2-05684306BC3C}">
      <text>
        <r>
          <rPr>
            <b/>
            <sz val="9"/>
            <color indexed="81"/>
            <rFont val="Segoe UI"/>
            <family val="2"/>
          </rPr>
          <t>CHRISTOPHER MARIM:</t>
        </r>
        <r>
          <rPr>
            <sz val="9"/>
            <color indexed="81"/>
            <rFont val="Segoe UI"/>
            <family val="2"/>
          </rPr>
          <t xml:space="preserve">
Espaço insuficiente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MARIM</author>
  </authors>
  <commentList>
    <comment ref="B19" authorId="0" shapeId="0" xr:uid="{B780B637-2ED8-42C4-BD63-6CD1EDFFD30D}">
      <text>
        <r>
          <rPr>
            <sz val="9"/>
            <color indexed="81"/>
            <rFont val="Segoe UI"/>
            <family val="2"/>
          </rPr>
          <t xml:space="preserve">Baseado no Backup anterior.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7FE3AA-EA4A-47C6-96B6-CECE57A8CC20}" keepAlive="1" name="Consulta - arquivos" description="Conexão com a consulta 'arquivos' na pasta de trabalho." type="5" refreshedVersion="6" background="1" refreshOnLoad="1" saveData="1">
    <dbPr connection="Provider=Microsoft.Mashup.OleDb.1;Data Source=$Workbook$;Location=arquivos;Extended Properties=&quot;&quot;" command="SELECT * FROM [arquivos]"/>
  </connection>
  <connection id="2" xr16:uid="{E1A1DD4B-EC94-4DD9-A035-0443D7D6689E}" keepAlive="1" name="Consulta - Protheus ATT" description="Conexão com a consulta 'Protheus ATT' na pasta de trabalho." type="5" refreshedVersion="6" background="1" refreshOnLoad="1" saveData="1">
    <dbPr connection="Provider=Microsoft.Mashup.OleDb.1;Data Source=$Workbook$;Location=Protheus ATT;Extended Properties=&quot;&quot;" command="SELECT * FROM [Protheus ATT]"/>
  </connection>
  <connection id="3" xr16:uid="{66E159E4-8C41-4FC7-BF8C-89DBD3B44A89}" name="Text LogFile" type="100" refreshedVersion="0">
    <extLst>
      <ext xmlns:x15="http://schemas.microsoft.com/office/spreadsheetml/2010/11/main" uri="{DE250136-89BD-433C-8126-D09CA5730AF9}">
        <x15:connection id="507e45a2-db45-4da6-9be0-3a5901ca51b9"/>
      </ext>
    </extLst>
  </connection>
  <connection id="4" xr16:uid="{0E3B3FEF-1AF3-4155-AD61-EE103683D09C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E991404D-61D0-4F6A-B568-1D9222E3A73F}" name="WorksheetConnection_AnaliseBKP.xlsx!Protheus_ATT" type="102" refreshedVersion="6" minRefreshableVersion="5" saveData="1">
    <extLst>
      <ext xmlns:x15="http://schemas.microsoft.com/office/spreadsheetml/2010/11/main" uri="{DE250136-89BD-433C-8126-D09CA5730AF9}">
        <x15:connection id="Protheus_ATT">
          <x15:rangePr sourceName="_xlcn.WorksheetConnection_AnaliseBKP.xlsxProtheus_ATT1"/>
        </x15:connection>
      </ext>
    </extLst>
  </connection>
</connections>
</file>

<file path=xl/sharedStrings.xml><?xml version="1.0" encoding="utf-8"?>
<sst xmlns="http://schemas.openxmlformats.org/spreadsheetml/2006/main" count="1200" uniqueCount="432">
  <si>
    <t>Seg</t>
  </si>
  <si>
    <t>Ter</t>
  </si>
  <si>
    <t>Qui</t>
  </si>
  <si>
    <t>Qua</t>
  </si>
  <si>
    <t>Sex</t>
  </si>
  <si>
    <t>Sab</t>
  </si>
  <si>
    <t>Dom</t>
  </si>
  <si>
    <t>Google</t>
  </si>
  <si>
    <t>7 Dias</t>
  </si>
  <si>
    <t>Servidor de dados</t>
  </si>
  <si>
    <t>192.168.5.3</t>
  </si>
  <si>
    <t>% Free</t>
  </si>
  <si>
    <t>192.168.5.9</t>
  </si>
  <si>
    <t>192.168.5.10</t>
  </si>
  <si>
    <t>Banco de Dados</t>
  </si>
  <si>
    <t>BRSPAHST02</t>
  </si>
  <si>
    <t>% Used</t>
  </si>
  <si>
    <t>nome</t>
  </si>
  <si>
    <t>Ip</t>
  </si>
  <si>
    <t>Volumes</t>
  </si>
  <si>
    <t>D:</t>
  </si>
  <si>
    <t>G:</t>
  </si>
  <si>
    <t>F:</t>
  </si>
  <si>
    <t>C:</t>
  </si>
  <si>
    <t>Capacidade</t>
  </si>
  <si>
    <t>Free</t>
  </si>
  <si>
    <t>Total</t>
  </si>
  <si>
    <t>BRSPAAPP02</t>
  </si>
  <si>
    <t>BRSPAAPP01</t>
  </si>
  <si>
    <t>Volume GB</t>
  </si>
  <si>
    <t>Protheus</t>
  </si>
  <si>
    <t>Ultimo UpLoad</t>
  </si>
  <si>
    <t>Tamanho GB</t>
  </si>
  <si>
    <t>ADMINISTRACAO</t>
  </si>
  <si>
    <t>COMPLETA</t>
  </si>
  <si>
    <t>TAREFA</t>
  </si>
  <si>
    <t>TIPO</t>
  </si>
  <si>
    <t>DATA</t>
  </si>
  <si>
    <t>GB</t>
  </si>
  <si>
    <t>INCREMENTAL</t>
  </si>
  <si>
    <t>ALMOXARIFADO</t>
  </si>
  <si>
    <t>COMPRAS</t>
  </si>
  <si>
    <t>RH</t>
  </si>
  <si>
    <t>LOGÍSTICA</t>
  </si>
  <si>
    <t>MANAGER</t>
  </si>
  <si>
    <t>Rótulos de Linha</t>
  </si>
  <si>
    <t>Total Geral</t>
  </si>
  <si>
    <t>Soma de GB</t>
  </si>
  <si>
    <t>Rótulos de Coluna</t>
  </si>
  <si>
    <t>GOOGLE DRIVE</t>
  </si>
  <si>
    <t>&gt;&gt;&gt; BackUp Dia</t>
  </si>
  <si>
    <t>Status</t>
  </si>
  <si>
    <t>Automatico</t>
  </si>
  <si>
    <t>Erro</t>
  </si>
  <si>
    <t>Manual</t>
  </si>
  <si>
    <t>Status Validos</t>
  </si>
  <si>
    <t>&gt;&gt;&gt; Evolucao dos Dados (BackUp Completos)</t>
  </si>
  <si>
    <t>% Ocupado</t>
  </si>
  <si>
    <t>Tempo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</si>
  <si>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</si>
  <si>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</si>
  <si>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</si>
  <si>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</si>
  <si>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</si>
  <si>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</si>
  <si>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</si>
  <si>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</si>
  <si>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</si>
  <si>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Tipo</t>
  </si>
  <si>
    <t>Arquivos</t>
  </si>
  <si>
    <t>Banco de dados</t>
  </si>
  <si>
    <t xml:space="preserve">Soma de Armazenamento total Antes </t>
  </si>
  <si>
    <t>Soma de Backup</t>
  </si>
  <si>
    <t>Mín. de Armazenamento total disponivel</t>
  </si>
  <si>
    <t>Soma de Tempo</t>
  </si>
  <si>
    <t>Incompleta</t>
  </si>
  <si>
    <t>Completa</t>
  </si>
  <si>
    <t xml:space="preserve">2 Horas, 8 Minutos, 19 Segundos </t>
  </si>
  <si>
    <t>Número de Arquivos</t>
  </si>
  <si>
    <t>Tamanho do Backup do Dia</t>
  </si>
  <si>
    <t>Tamanho total de armazenamento disponivel</t>
  </si>
  <si>
    <t>Tempo necessário para o Backup do Dia</t>
  </si>
  <si>
    <t>Número de arquivos processados</t>
  </si>
  <si>
    <t>Data:</t>
  </si>
  <si>
    <t>Vinculos</t>
  </si>
  <si>
    <t>SCHST01 BANCO DE DADOS</t>
  </si>
  <si>
    <t>SCHST01 PROTHEUS</t>
  </si>
  <si>
    <t>0 Horas, 51 Minutos, 41 Segundos</t>
  </si>
  <si>
    <t>23,6 GB</t>
  </si>
  <si>
    <t xml:space="preserve">0 Horas, 57 Minutos, 2 Segundos </t>
  </si>
  <si>
    <t>Tamanho</t>
  </si>
  <si>
    <t>1.28 TB</t>
  </si>
  <si>
    <t xml:space="preserve">Arquivos incrementais diario </t>
  </si>
  <si>
    <t>arquivos incrementais</t>
  </si>
  <si>
    <t>Arquivos incrementais</t>
  </si>
  <si>
    <t>Número de arquivos incrementais baseado no dia anterior</t>
  </si>
  <si>
    <t>Backup de:</t>
  </si>
  <si>
    <t>65,7 GB</t>
  </si>
  <si>
    <t>23,7 GB</t>
  </si>
  <si>
    <t>20,3 GB</t>
  </si>
  <si>
    <t>n</t>
  </si>
  <si>
    <t>PROTHEUS</t>
  </si>
  <si>
    <t>ARQUIVOS</t>
  </si>
  <si>
    <t>BANCO DE DADOS</t>
  </si>
  <si>
    <t>Backup Feito</t>
  </si>
  <si>
    <t>Tempo do Backup</t>
  </si>
  <si>
    <t>Incrementais</t>
  </si>
  <si>
    <t>Dias backup</t>
  </si>
  <si>
    <t>Máx. de DATA</t>
  </si>
  <si>
    <t>Contagem de TIPO</t>
  </si>
  <si>
    <t>2 Horas, 8 Minutos , 19 Segundos</t>
  </si>
  <si>
    <t>2 Horas, 10 Minutos, 11  Segundos</t>
  </si>
  <si>
    <t>2 Horas, 07 Minutos, 31 Segundos</t>
  </si>
  <si>
    <t xml:space="preserve">      n</t>
  </si>
  <si>
    <t>23,8 GB</t>
  </si>
  <si>
    <t xml:space="preserve">0 Horas, 56 Minutos, 40 Segundos </t>
  </si>
  <si>
    <t xml:space="preserve">2 Horas, 11 Minutos, 36 Segundos </t>
  </si>
  <si>
    <t xml:space="preserve">2 Horas, 7 Minutos, 19 Segundos </t>
  </si>
  <si>
    <t xml:space="preserve">2 Horas, 17 Minutos, 2 Segundos </t>
  </si>
  <si>
    <t>Armazenamento Total Disponivel</t>
  </si>
  <si>
    <t>14.9KB</t>
  </si>
  <si>
    <t xml:space="preserve">0 Horas, 31 Minutos, 17 Segundos </t>
  </si>
  <si>
    <t>0KB</t>
  </si>
  <si>
    <t xml:space="preserve">0 Horas, 0 Minutos, 4 Segundos </t>
  </si>
  <si>
    <t xml:space="preserve">0 Horas, 31 Minutos, 48 Segundos </t>
  </si>
  <si>
    <t>14,4 KB</t>
  </si>
  <si>
    <t xml:space="preserve">0 Horas, 31 Minutos, 44 Segundos </t>
  </si>
  <si>
    <t xml:space="preserve">0 Horas, 31 Minutos, 19 Segundos </t>
  </si>
  <si>
    <t xml:space="preserve">0 Horas, 30 Minutos, 37 Segundos </t>
  </si>
  <si>
    <t xml:space="preserve">0 Horas, 31 Minutos, 18 Segundos </t>
  </si>
  <si>
    <t>14,9 KB</t>
  </si>
  <si>
    <t xml:space="preserve">0 Horas, 30 Minutos, 41 Segundos </t>
  </si>
  <si>
    <t>3,3 KB</t>
  </si>
  <si>
    <t>3.3KB</t>
  </si>
  <si>
    <t xml:space="preserve">0 Horas, 3 Minutos, 34 Segundos </t>
  </si>
  <si>
    <t>0Kb</t>
  </si>
  <si>
    <t xml:space="preserve">0 Horas, 3 Minutos, 33 Segundos </t>
  </si>
  <si>
    <t xml:space="preserve">0 Horas, 3 Minutos, 35 Segundos </t>
  </si>
  <si>
    <t>1661,1 MB</t>
  </si>
  <si>
    <t>192KB</t>
  </si>
  <si>
    <t xml:space="preserve">0 Horas, 3 Minutos, 49 Segundos </t>
  </si>
  <si>
    <t xml:space="preserve">0 Horas, 8 Minutos, 54 Segundos </t>
  </si>
  <si>
    <t xml:space="preserve">0 Horas, 9 Minutos, 1 Segundo </t>
  </si>
  <si>
    <t>1692,0 MB</t>
  </si>
  <si>
    <t>0 Horas, 8 Minutos, 48 Segundos</t>
  </si>
  <si>
    <t>1714,6 MB</t>
  </si>
  <si>
    <t>26,9 GB</t>
  </si>
  <si>
    <t xml:space="preserve">1 hora, 11 Minutos, 5 Segundos </t>
  </si>
  <si>
    <t xml:space="preserve">0 Horas, 40 Minutos, 57 Segundos </t>
  </si>
  <si>
    <t xml:space="preserve">0 Horas, 34 Minutos, 15 Segundos </t>
  </si>
  <si>
    <t xml:space="preserve">0 Horas, 34 Minutos, 27 Segundos </t>
  </si>
  <si>
    <t xml:space="preserve">0 Horas, 34 Minutos, 1 Segundo </t>
  </si>
  <si>
    <t xml:space="preserve">0 Horas, 34 Minutos, 32 Segundos </t>
  </si>
  <si>
    <t xml:space="preserve">0 Horas, 39 Minutos, 38 Segundos </t>
  </si>
  <si>
    <t xml:space="preserve">0 Horas, 4 Minutos, 32 Segundos </t>
  </si>
  <si>
    <t>14,6 KB</t>
  </si>
  <si>
    <t xml:space="preserve">0 Horas, 4 Minutos, 34 Segundos </t>
  </si>
  <si>
    <t xml:space="preserve">0 Horas, 4 Minutos, 35 Segundos </t>
  </si>
  <si>
    <t xml:space="preserve">0 Horas, 4 Minutos, 37 Segundos </t>
  </si>
  <si>
    <t xml:space="preserve">2 Horas, 10 Minutos, 36 Segundos </t>
  </si>
  <si>
    <t>65,2 GB</t>
  </si>
  <si>
    <t xml:space="preserve">3 Horas, 1 minuto, 37 Segundos </t>
  </si>
  <si>
    <t>65,0 GB</t>
  </si>
  <si>
    <t xml:space="preserve">2 Horas, 10 Minutos, 2 Segundos </t>
  </si>
  <si>
    <t>605,8 MB</t>
  </si>
  <si>
    <t xml:space="preserve">0 Horas, 6 Minutos, 56 Segundos </t>
  </si>
  <si>
    <t>26,8 GB</t>
  </si>
  <si>
    <t xml:space="preserve">1 hora, 14 Minutos, 6 Segundos </t>
  </si>
  <si>
    <t xml:space="preserve">0 Horas, 53 Minutos, 32 Segundos </t>
  </si>
  <si>
    <t xml:space="preserve">1 hora, 15 Minutos, 32 Segundos </t>
  </si>
  <si>
    <t>28,9 GB</t>
  </si>
  <si>
    <t>29,0 GB</t>
  </si>
  <si>
    <t>1 hora, 12 Minutos, 33 Segundos</t>
  </si>
  <si>
    <t>65,3 GB</t>
  </si>
  <si>
    <t xml:space="preserve">2 Horas, 11 Minutos, 55 Segundos </t>
  </si>
  <si>
    <t xml:space="preserve">2 Horas, 9 Minutos, 51 Segundos </t>
  </si>
  <si>
    <t>0 Horas, 57 Minutos, 31 Segundos</t>
  </si>
  <si>
    <t>27,1 GB</t>
  </si>
  <si>
    <t xml:space="preserve">0 Horas, 54 Minutos, 51 Segundos </t>
  </si>
  <si>
    <t>27,2 GB</t>
  </si>
  <si>
    <t>0 Horas, 55 Minutos, 54 Segundos</t>
  </si>
  <si>
    <t xml:space="preserve">0 Horas, 55 Minutos, 33 Segundos </t>
  </si>
  <si>
    <t>27,3 GB</t>
  </si>
  <si>
    <t xml:space="preserve">2 Horas, 34 Minutos, 20 Segundos </t>
  </si>
  <si>
    <t xml:space="preserve">2 Horas, 11 Minutos, 25 Segundos </t>
  </si>
  <si>
    <t xml:space="preserve">2 Horas, 29 Minutos, 12 Segundos </t>
  </si>
  <si>
    <t xml:space="preserve">2 Horas, 13 Minutos, 42 Segundos </t>
  </si>
  <si>
    <t xml:space="preserve">0 Horas, 55 Minutos, 5 Segundos </t>
  </si>
  <si>
    <t>27,4 GB</t>
  </si>
  <si>
    <t xml:space="preserve">1 hora, 56 Minutos, 9 Segundos </t>
  </si>
  <si>
    <t xml:space="preserve">1 hora, 0 Minutos, 8 Segundos </t>
  </si>
  <si>
    <t xml:space="preserve">0 Horas, 57 Minutos, 28 Segundos </t>
  </si>
  <si>
    <t>27,5 GB</t>
  </si>
  <si>
    <t xml:space="preserve">1 hora, 36 Minutos, 13 Segundos </t>
  </si>
  <si>
    <t xml:space="preserve">1 hora, 0 Minutos, 9 Segundos </t>
  </si>
  <si>
    <t>27,6 GB</t>
  </si>
  <si>
    <t xml:space="preserve">0 Horas, 59 Minutos, 23 Segundos </t>
  </si>
  <si>
    <t xml:space="preserve">1 hora, 1 minuto, 20 Segundos </t>
  </si>
  <si>
    <t>27,7 GB</t>
  </si>
  <si>
    <t xml:space="preserve">2 Horas, 10 Minutos, 12 Segundos </t>
  </si>
  <si>
    <t xml:space="preserve">2 Horas, 13 Minutos, 11 Segundos </t>
  </si>
  <si>
    <t xml:space="preserve">2 Horas, 16 Minutos, 56 Segundos </t>
  </si>
  <si>
    <t xml:space="preserve">2 Horas, 11 Minutos, 11 Segundos </t>
  </si>
  <si>
    <t xml:space="preserve">2 Horas, 15 Minutos, 35 Segundos </t>
  </si>
  <si>
    <t xml:space="preserve">2 Horas, 16 Minutos, 17 Segundos </t>
  </si>
  <si>
    <t xml:space="preserve">2 Horas, 11 Minutos, 31 Segundos </t>
  </si>
  <si>
    <t xml:space="preserve">2 Horas, 16 Minutos, 37 Segundos </t>
  </si>
  <si>
    <t xml:space="preserve">1 hora, 1 minuto, 40 Segundos </t>
  </si>
  <si>
    <t xml:space="preserve">1 hora, 2 Minutos, 18 Segundos </t>
  </si>
  <si>
    <t>27,9 GB</t>
  </si>
  <si>
    <t>1 hora, 0 Minutos, 12 Segundos</t>
  </si>
  <si>
    <t>27,8 GB</t>
  </si>
  <si>
    <t>65,4 GB</t>
  </si>
  <si>
    <t xml:space="preserve">2 Horas, 17 Minutos, 28 Segundos </t>
  </si>
  <si>
    <t xml:space="preserve">2 Horas, 12 Minutos, 46 Segundos </t>
  </si>
  <si>
    <t xml:space="preserve">2 Horas, 24 Minutos, 48 Segundos </t>
  </si>
  <si>
    <t xml:space="preserve">1 hora, 4 Minutos, 50 Segundos </t>
  </si>
  <si>
    <t xml:space="preserve">1 hora, 0 Minutos, 14 Segundos </t>
  </si>
  <si>
    <t>28,0 GB</t>
  </si>
  <si>
    <t xml:space="preserve">2 Horas, 34 Minutos, 44 Segundos </t>
  </si>
  <si>
    <t xml:space="preserve">2 Horas, 13 Minutos, 16 Segundos </t>
  </si>
  <si>
    <t xml:space="preserve">1 hora, 6 Minutos, 48 Segundos </t>
  </si>
  <si>
    <t xml:space="preserve">1 hora, 1 minuto, 26 Segundos </t>
  </si>
  <si>
    <t>28,1 GB</t>
  </si>
  <si>
    <t xml:space="preserve">2 Horas, 13 Minutos, 50 Segundos </t>
  </si>
  <si>
    <t xml:space="preserve">2 Horas, 18 Minutos, 44 Segundos </t>
  </si>
  <si>
    <t xml:space="preserve">1 hora, 1 minuto, 27 Segundos </t>
  </si>
  <si>
    <t xml:space="preserve">2 Horas, 13 Minutos, 23 Segundos </t>
  </si>
  <si>
    <t>28,2 GB</t>
  </si>
  <si>
    <t xml:space="preserve">1 hora, 3 Minutos, 15 Segundos </t>
  </si>
  <si>
    <t xml:space="preserve">2 Horas, 35 Minutos, 40 Segundos </t>
  </si>
  <si>
    <t xml:space="preserve">2 Horas, 18 Minutos, 45 Segundos </t>
  </si>
  <si>
    <t>1 hora, 3 Minutos, 38 Segundos</t>
  </si>
  <si>
    <t>28,8 GB</t>
  </si>
  <si>
    <t xml:space="preserve">2 Horas, 34 Minutos, 58 Segundos </t>
  </si>
  <si>
    <t xml:space="preserve">2 Horas, 35 Minutos, 36 Segundos </t>
  </si>
  <si>
    <t xml:space="preserve">1 hora, 5 Minutos, 53 Segundos </t>
  </si>
  <si>
    <t xml:space="preserve">1 hora, 4 Minutos, 22 Segundos </t>
  </si>
  <si>
    <t xml:space="preserve">2 Horas, 14 Minutos, 27 Segundos </t>
  </si>
  <si>
    <t>1 hora, 3 Minutos, 53 Segundos</t>
  </si>
  <si>
    <t xml:space="preserve">2 Horas, 13 Minutos, 35 Segundos </t>
  </si>
  <si>
    <t xml:space="preserve">0 Horas, 4 Minutos, 48 Segundos </t>
  </si>
  <si>
    <t xml:space="preserve">0 Horas, 4 Minutos, 32 Segundos  </t>
  </si>
  <si>
    <t xml:space="preserve">1 hora, 6 Minutos, 21 Segundos </t>
  </si>
  <si>
    <t>29,1 GB</t>
  </si>
  <si>
    <t xml:space="preserve">1 hora, 7 Minutos, 14 Segundos </t>
  </si>
  <si>
    <t xml:space="preserve">0 Horas, 50 Minutos, 53 Segundos </t>
  </si>
  <si>
    <t>12,9 GB</t>
  </si>
  <si>
    <t xml:space="preserve">0 Horas, 34 Minutos, 29 Segundos </t>
  </si>
  <si>
    <t xml:space="preserve">0 Horas, 57 Minutos, 49 Segundos </t>
  </si>
  <si>
    <t>71,5 GB</t>
  </si>
  <si>
    <t xml:space="preserve">2 Horas, 41 Minutos, 47 Segundos </t>
  </si>
  <si>
    <t>SCHST01 ARQUIVOS</t>
  </si>
  <si>
    <t xml:space="preserve">1 hora, 0 Minutos, 10 Segundos </t>
  </si>
  <si>
    <t xml:space="preserve">0 Horas, 56 Minutos, 58 Segundos </t>
  </si>
  <si>
    <t xml:space="preserve">2 Horas, 20 Minutos, 46 Segundos </t>
  </si>
  <si>
    <t xml:space="preserve">2 Horas, 20 Minutos, 18 Segundos </t>
  </si>
  <si>
    <t xml:space="preserve">2 Horas, 19 Minutos, 56 Segundos </t>
  </si>
  <si>
    <t xml:space="preserve">0 Horas, 57 Minutos, 60 Segundos </t>
  </si>
  <si>
    <t xml:space="preserve">0 Horas, 59 Minutos, 31 Segundos </t>
  </si>
  <si>
    <t xml:space="preserve">1 hora, 36 Minutos, 24 Segundos </t>
  </si>
  <si>
    <t>28,3 GB</t>
  </si>
  <si>
    <t xml:space="preserve">1 hora, 0 Minutos, 41 Segundos </t>
  </si>
  <si>
    <t>28,4 GB</t>
  </si>
  <si>
    <t xml:space="preserve">0 Horas, 58 Minutos, 9 Segundos </t>
  </si>
  <si>
    <t>28,5 GB</t>
  </si>
  <si>
    <t xml:space="preserve">2 Horas, 20 Minutos, 32 Segundos </t>
  </si>
  <si>
    <t xml:space="preserve">3 Horas, 44 Minutos, 41 Segundos </t>
  </si>
  <si>
    <t xml:space="preserve">2 Horas, 21 Minutos, 12 Segundos </t>
  </si>
  <si>
    <t xml:space="preserve">2 Horas, 20 Minutos, 26 Segundos </t>
  </si>
  <si>
    <t>28,6 GB</t>
  </si>
  <si>
    <t xml:space="preserve">0 Horas, 59 Minutos, 18 Segundos </t>
  </si>
  <si>
    <t>28,7 GB</t>
  </si>
  <si>
    <t xml:space="preserve">0 Horas, 59 Minutos, 47 Segundos </t>
  </si>
  <si>
    <t xml:space="preserve">1 hora, 1 minuto, 15 Segundos </t>
  </si>
  <si>
    <t xml:space="preserve">0 Horas, 54 Minutos, 4 Segundos </t>
  </si>
  <si>
    <t>12,6 GB</t>
  </si>
  <si>
    <t xml:space="preserve">0 Horas, 35 Minutos, 3 Segundos </t>
  </si>
  <si>
    <t xml:space="preserve">0 Horas, 35 Minutos, 38 Segundos </t>
  </si>
  <si>
    <t>0 Horas, 3 Minutos, 26 Segundos</t>
  </si>
  <si>
    <t xml:space="preserve">0 Horas, 4 Minutos, 54 Segundos </t>
  </si>
  <si>
    <t>14,5 KB</t>
  </si>
  <si>
    <t xml:space="preserve"> 2 Horas, 21 Minutos, 20 Segundos </t>
  </si>
  <si>
    <t xml:space="preserve">2 Horas, 20 Minutos, 30 Segundos </t>
  </si>
  <si>
    <t>71,6 GB</t>
  </si>
  <si>
    <t xml:space="preserve">2 Horas, 24 Minutos, 37 Segundos </t>
  </si>
  <si>
    <t xml:space="preserve">2 Horas, 21 Minutos, 3 Segundos </t>
  </si>
  <si>
    <t>29,3 GB</t>
  </si>
  <si>
    <t xml:space="preserve">1 hora, 1 minuto, 18 Segundos </t>
  </si>
  <si>
    <t>29,4 GB</t>
  </si>
  <si>
    <t xml:space="preserve">1 hora, 2 Minutos, 7 Segundos </t>
  </si>
  <si>
    <t>71,7 GB</t>
  </si>
  <si>
    <t xml:space="preserve">2 Horas, 20 Minutos, 53 Segundos </t>
  </si>
  <si>
    <t xml:space="preserve">2 Horas, 23 Minutos, 20 Segundos </t>
  </si>
  <si>
    <t xml:space="preserve">2 Horas, 22 Minutos, 14 Segundos </t>
  </si>
  <si>
    <t>29,7 GB</t>
  </si>
  <si>
    <t xml:space="preserve">1 hora, 8 Minutos, 4 Segundos </t>
  </si>
  <si>
    <t xml:space="preserve">1 hora, 2 Minutos, 40 Segundos </t>
  </si>
  <si>
    <t>29,8 GB</t>
  </si>
  <si>
    <t xml:space="preserve">1 hora, 3 Minutos, 16 Segundos </t>
  </si>
  <si>
    <t xml:space="preserve">1 hora, 2 Minutos, 56 Segundos </t>
  </si>
  <si>
    <t>29,9 GB</t>
  </si>
  <si>
    <t xml:space="preserve">0 Horas, 0 Minutos, 7 Segundos </t>
  </si>
  <si>
    <t xml:space="preserve">0 Horas, 32 Minutos, 20 Segundos </t>
  </si>
  <si>
    <t xml:space="preserve">1 hora, 2 Minutos, 57 Segundos </t>
  </si>
  <si>
    <t>30,4 GB</t>
  </si>
  <si>
    <t xml:space="preserve">2 Horas, 0 Minutos, 52 Segundos </t>
  </si>
  <si>
    <t>30,6 GB</t>
  </si>
  <si>
    <t>17,1 GB</t>
  </si>
  <si>
    <t xml:space="preserve">0 Horas, 58 Minutos, 51 Segundos </t>
  </si>
  <si>
    <t xml:space="preserve">3 Horas, 2 Minutos, 8 Segundos </t>
  </si>
  <si>
    <t>71,8 GB</t>
  </si>
  <si>
    <t xml:space="preserve">2 Horas, 22 Minutos, 1 Segundo </t>
  </si>
  <si>
    <t xml:space="preserve">2 Horas, 21 Minutos, 1 Segundo </t>
  </si>
  <si>
    <t xml:space="preserve">2 Horas, 21 Minutos, 52 Segundos </t>
  </si>
  <si>
    <t xml:space="preserve">2 Horas, 18 Minutos, 43 Segundos </t>
  </si>
  <si>
    <t>71,0 GB</t>
  </si>
  <si>
    <t xml:space="preserve">2 Horas, 18 Minutos, 27 Segundos </t>
  </si>
  <si>
    <t xml:space="preserve">0 Horas, 3 Minutos, 26 Segundos </t>
  </si>
  <si>
    <t>30,9 GB</t>
  </si>
  <si>
    <t>1 hora, 6 Minutos, 47 Segundo</t>
  </si>
  <si>
    <t xml:space="preserve">1 hora, 6 Minutos, 56 Segundos </t>
  </si>
  <si>
    <t>31,1 GB</t>
  </si>
  <si>
    <t>31,2 GB</t>
  </si>
  <si>
    <t xml:space="preserve">1 hora, 50 Minutos, 48 Segundos </t>
  </si>
  <si>
    <t xml:space="preserve">1 hora, 5 Minutos, 5 Segundos </t>
  </si>
  <si>
    <t>31,4 GB</t>
  </si>
  <si>
    <t xml:space="preserve">1 hora, 5 Minutos, 28 Segundos </t>
  </si>
  <si>
    <t>31,5 GB</t>
  </si>
  <si>
    <t xml:space="preserve">1 hora, 5 Minutos, 55 Segundos </t>
  </si>
  <si>
    <t>31,7 GB</t>
  </si>
  <si>
    <t xml:space="preserve">1 hora, 1 minuto, 21 Segundos </t>
  </si>
  <si>
    <t>14,8 GB</t>
  </si>
  <si>
    <t xml:space="preserve">1 hora, 6 Minutos, 40 Segundos </t>
  </si>
  <si>
    <t>32,0 GB</t>
  </si>
  <si>
    <t xml:space="preserve">1 hora, 6 Minutos, 38 Segundos </t>
  </si>
  <si>
    <t>32,2 GB</t>
  </si>
  <si>
    <t xml:space="preserve">1 hora, 7 Minutos, 21 Segundos </t>
  </si>
  <si>
    <t>32,3 GB</t>
  </si>
  <si>
    <t xml:space="preserve">1 hora, 7 Minutos, 2 Segundos </t>
  </si>
  <si>
    <t>32,5 GB</t>
  </si>
  <si>
    <t xml:space="preserve">0 Horas, 32 Minutos, 52 Segundos </t>
  </si>
  <si>
    <t xml:space="preserve"> 14,9 KB</t>
  </si>
  <si>
    <t xml:space="preserve">0 Horas, -27 Minutos, -1 Segundos </t>
  </si>
  <si>
    <t xml:space="preserve">0 Horas, 4 Minutos, 57 Segundos </t>
  </si>
  <si>
    <t>20,6 KB</t>
  </si>
  <si>
    <t xml:space="preserve">0 Horas, 3 Minutos, 30 Segundos </t>
  </si>
  <si>
    <t xml:space="preserve">2 Horas, 18 Minutos, 60 Segundos </t>
  </si>
  <si>
    <t xml:space="preserve">2 Horas, 21 Minutos, 55 Segundos </t>
  </si>
  <si>
    <t xml:space="preserve">2 Horas, 32 Minutos, 13 Segundos </t>
  </si>
  <si>
    <t xml:space="preserve">2 Horas, 18 Minutos, 24 Segundos </t>
  </si>
  <si>
    <t xml:space="preserve">2 Horas, 18 Minutos, 20 Segundos </t>
  </si>
  <si>
    <t>71,1 GB</t>
  </si>
  <si>
    <t xml:space="preserve">2 Horas, 18 Minutos, 35 Segundos </t>
  </si>
  <si>
    <t xml:space="preserve">2 Horas, 19 Minutos, 12 Segundos </t>
  </si>
  <si>
    <t xml:space="preserve">2 Horas, 20 Minutos, 31 Segundos </t>
  </si>
  <si>
    <t xml:space="preserve">2 Horas, 18 Minutos, 25 Segundos </t>
  </si>
  <si>
    <t xml:space="preserve">2 Horas, 18 Minutos, 39 Segundos </t>
  </si>
  <si>
    <t/>
  </si>
  <si>
    <t>Tamanho de dados copiados</t>
  </si>
  <si>
    <t>Computador/Conta</t>
  </si>
  <si>
    <t xml:space="preserve"> SCHST01 / administrator</t>
  </si>
  <si>
    <t xml:space="preserve"> Server 2012 R2 Std.(64 bits) (B.9600)</t>
  </si>
  <si>
    <t>Resultado do backup</t>
  </si>
  <si>
    <t xml:space="preserve"> Backup finalizado com erros</t>
  </si>
  <si>
    <t>Tempo necess rio</t>
  </si>
  <si>
    <t>N£mero de arquivos processados</t>
  </si>
  <si>
    <t>N£mero de arquivos que produziram erros</t>
  </si>
  <si>
    <t>Tipo de execu‡Æo</t>
  </si>
  <si>
    <t xml:space="preserve"> Servi‡o</t>
  </si>
  <si>
    <t>VersÆo do Windows</t>
  </si>
  <si>
    <t xml:space="preserve"> 1 hora, 13 Minutos, 7 Segundos </t>
  </si>
  <si>
    <t xml:space="preserve"> 33,5 GB</t>
  </si>
  <si>
    <t xml:space="preserve"> 2 Horas, 44 Minutos, 36 Segundos </t>
  </si>
  <si>
    <t xml:space="preserve"> 71,2 GB</t>
  </si>
  <si>
    <t xml:space="preserve"> Backup conclu¡do com sucesso</t>
  </si>
  <si>
    <t>Iniciando backup em disco - \\192.168.0.11\Backup\Arquivos</t>
  </si>
  <si>
    <t xml:space="preserve"> 30/08/2019</t>
  </si>
  <si>
    <t xml:space="preserve"> 1 hora, 10 Minutos, 17 Segundos </t>
  </si>
  <si>
    <t>33,8 GB</t>
  </si>
  <si>
    <t xml:space="preserve">1 hora, 9 Minutos, 58 Segundos </t>
  </si>
  <si>
    <t>33,6 GB</t>
  </si>
  <si>
    <t xml:space="preserve">0 Horas, 45 Minutos, 22 Segundos </t>
  </si>
  <si>
    <t>34,5 GB</t>
  </si>
  <si>
    <t xml:space="preserve">2 Horas, 20 Minutos, 1 Segundo </t>
  </si>
  <si>
    <t>71,2 GB</t>
  </si>
  <si>
    <t xml:space="preserve">2 Horas, 21 Minutos, 5 Segundos </t>
  </si>
  <si>
    <t>Inicio do backup_1</t>
  </si>
  <si>
    <t xml:space="preserve"> 70,2 GB</t>
  </si>
  <si>
    <t xml:space="preserve"> 0 Horas, 46 Minutos, 6 Segundos </t>
  </si>
  <si>
    <t xml:space="preserve"> 34,7 GB</t>
  </si>
  <si>
    <t>Inicio do backup.1</t>
  </si>
  <si>
    <t>Fim do backup.1</t>
  </si>
  <si>
    <t xml:space="preserve"> 111564</t>
  </si>
  <si>
    <t xml:space="preserve"> 2 Horas, 5 Minutos, 54 Segundos </t>
  </si>
  <si>
    <t xml:space="preserve"> 3 Horas, 4 Minutos, 53 Segundos </t>
  </si>
  <si>
    <t xml:space="preserve"> 05/09/2019 02</t>
  </si>
  <si>
    <t xml:space="preserve"> 0 Horas, 50 Minutos, 17 Segundos </t>
  </si>
  <si>
    <t xml:space="preserve"> 34,9 GB</t>
  </si>
  <si>
    <t xml:space="preserve"> 111897</t>
  </si>
  <si>
    <t xml:space="preserve"> 0 Horas, 49 Minutos, 40 Segundos </t>
  </si>
  <si>
    <t xml:space="preserve"> 35,3 GB</t>
  </si>
  <si>
    <t xml:space="preserve"> 112312</t>
  </si>
  <si>
    <t xml:space="preserve"> 2</t>
  </si>
  <si>
    <t xml:space="preserve"> 07/09/2019 05</t>
  </si>
  <si>
    <t xml:space="preserve">2 Horas, 12 Minutos, 16 Segundos </t>
  </si>
  <si>
    <t>70,3 GB</t>
  </si>
  <si>
    <t xml:space="preserve">2 Horas, 6 Minutos, 36 Segundos </t>
  </si>
  <si>
    <t xml:space="preserve">2 Horas, 10 Minutos, 10 Segundos </t>
  </si>
  <si>
    <t xml:space="preserve">2 Horas, 6 Minutos, 30 Segundos </t>
  </si>
  <si>
    <t xml:space="preserve">2 Horas, 33 Minutos, 33 Segundos </t>
  </si>
  <si>
    <t>70,4 GB</t>
  </si>
  <si>
    <t xml:space="preserve">2 Horas, 8 Minutos, 12 Segundos </t>
  </si>
  <si>
    <t>70,8 GB</t>
  </si>
  <si>
    <t xml:space="preserve">2 Horas, 10 Minutos, 45 Segundos </t>
  </si>
  <si>
    <t>71,4 GB</t>
  </si>
  <si>
    <t xml:space="preserve">2 Horas, 9 Minutos, 45 Segundos </t>
  </si>
  <si>
    <t xml:space="preserve"> 0 Horas, 47 Minutos, 49 Segundos</t>
  </si>
  <si>
    <t>35,6 GB</t>
  </si>
  <si>
    <t xml:space="preserve">0 Horas, 47 Minutos, 37 Segundos </t>
  </si>
  <si>
    <t>35,8 GB</t>
  </si>
  <si>
    <t xml:space="preserve">0 Horas, 47 Minutos, 41 Segundos </t>
  </si>
  <si>
    <t>36,2 GB</t>
  </si>
  <si>
    <t xml:space="preserve">0 Horas, 52 Minutos, 49 Segundos </t>
  </si>
  <si>
    <t>36,0 GB</t>
  </si>
  <si>
    <t xml:space="preserve">1 hora, 34 Minutos, 51 Segundos </t>
  </si>
  <si>
    <t>36,4 GB</t>
  </si>
  <si>
    <t xml:space="preserve">0 Horas, 49 Minutos, 25 Segundos </t>
  </si>
  <si>
    <t>36,6 GB</t>
  </si>
  <si>
    <t xml:space="preserve">0 Horas, 20 Minutos, 34 Segundos </t>
  </si>
  <si>
    <t>8,6 GB</t>
  </si>
  <si>
    <t>322GB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</si>
</sst>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#,##0.000"/>
    <numFmt numFmtId="166" formatCode="d/m;@"/>
    <numFmt numFmtId="167" formatCode="[$-F400]h:mm:ss\ AM/PM"/>
  </numFmts>
  <fonts count="29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0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1"/>
      <name val="Century Gothic"/>
      <family val="2"/>
      <scheme val="minor"/>
    </font>
    <font>
      <b/>
      <sz val="1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4"/>
      <color theme="1"/>
      <name val="Century Gothic"/>
      <family val="2"/>
      <scheme val="minor"/>
    </font>
    <font>
      <sz val="26"/>
      <color theme="1"/>
      <name val="Century Gothic"/>
      <family val="2"/>
      <scheme val="minor"/>
    </font>
    <font>
      <b/>
      <sz val="26"/>
      <color theme="1"/>
      <name val="Century Gothic"/>
      <family val="2"/>
      <scheme val="minor"/>
    </font>
    <font>
      <b/>
      <sz val="14"/>
      <color theme="1"/>
      <name val="Webdings"/>
      <family val="1"/>
      <charset val="2"/>
    </font>
    <font>
      <b/>
      <sz val="14"/>
      <color theme="0"/>
      <name val="Century Gothic"/>
      <family val="2"/>
      <scheme val="major"/>
    </font>
    <font>
      <b/>
      <sz val="7"/>
      <name val="Century Gothic"/>
      <family val="2"/>
      <scheme val="minor"/>
    </font>
    <font>
      <b/>
      <sz val="10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14"/>
      <color theme="0"/>
      <name val="Century Gothic"/>
      <family val="2"/>
      <scheme val="minor"/>
    </font>
    <font>
      <b/>
      <sz val="14"/>
      <color theme="4" tint="-0.499984740745262"/>
      <name val="Century Gothic"/>
      <family val="2"/>
      <scheme val="minor"/>
    </font>
    <font>
      <b/>
      <sz val="22"/>
      <color theme="4" tint="-0.499984740745262"/>
      <name val="Century Gothic"/>
      <family val="2"/>
      <scheme val="minor"/>
    </font>
    <font>
      <sz val="9"/>
      <color indexed="81"/>
      <name val="Segoe UI"/>
      <family val="2"/>
    </font>
    <font>
      <sz val="9"/>
      <color theme="0"/>
      <name val="Century Gothic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9"/>
      <color indexed="81"/>
      <name val="Segoe UI"/>
      <family val="2"/>
    </font>
    <font>
      <sz val="11"/>
      <color theme="1"/>
      <name val="Century Gothic"/>
      <family val="2"/>
      <scheme val="major"/>
    </font>
    <font>
      <sz val="8"/>
      <color theme="1"/>
      <name val="Century Gothic"/>
      <family val="2"/>
      <scheme val="minor"/>
    </font>
    <font>
      <sz val="11"/>
      <color theme="1"/>
      <name val="Calibri"/>
      <family val="2"/>
    </font>
    <font>
      <sz val="8"/>
      <name val="Century Gothic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9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6" borderId="0" xfId="0" applyFont="1" applyFill="1"/>
    <xf numFmtId="0" fontId="0" fillId="6" borderId="0" xfId="0" applyFill="1" applyAlignment="1">
      <alignment horizontal="center"/>
    </xf>
    <xf numFmtId="164" fontId="0" fillId="6" borderId="0" xfId="1" applyNumberFormat="1" applyFont="1" applyFill="1" applyAlignment="1">
      <alignment horizontal="center"/>
    </xf>
    <xf numFmtId="4" fontId="0" fillId="0" borderId="0" xfId="0" applyNumberFormat="1"/>
    <xf numFmtId="4" fontId="0" fillId="6" borderId="0" xfId="0" applyNumberFormat="1" applyFill="1"/>
    <xf numFmtId="0" fontId="0" fillId="6" borderId="3" xfId="0" applyFill="1" applyBorder="1"/>
    <xf numFmtId="10" fontId="0" fillId="6" borderId="4" xfId="0" applyNumberFormat="1" applyFill="1" applyBorder="1"/>
    <xf numFmtId="0" fontId="0" fillId="6" borderId="0" xfId="0" applyFill="1" applyBorder="1"/>
    <xf numFmtId="10" fontId="0" fillId="6" borderId="6" xfId="0" applyNumberFormat="1" applyFill="1" applyBorder="1"/>
    <xf numFmtId="0" fontId="0" fillId="6" borderId="6" xfId="0" applyFill="1" applyBorder="1"/>
    <xf numFmtId="4" fontId="0" fillId="6" borderId="0" xfId="0" applyNumberFormat="1" applyFill="1" applyBorder="1"/>
    <xf numFmtId="4" fontId="0" fillId="6" borderId="6" xfId="0" applyNumberFormat="1" applyFill="1" applyBorder="1"/>
    <xf numFmtId="0" fontId="0" fillId="6" borderId="8" xfId="0" applyFill="1" applyBorder="1"/>
    <xf numFmtId="4" fontId="0" fillId="6" borderId="8" xfId="0" applyNumberFormat="1" applyFill="1" applyBorder="1"/>
    <xf numFmtId="4" fontId="0" fillId="6" borderId="9" xfId="0" applyNumberFormat="1" applyFill="1" applyBorder="1"/>
    <xf numFmtId="0" fontId="0" fillId="2" borderId="0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0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5" xfId="0" applyFill="1" applyBorder="1" applyAlignment="1">
      <alignment horizontal="right"/>
    </xf>
    <xf numFmtId="4" fontId="0" fillId="6" borderId="0" xfId="0" applyNumberFormat="1" applyFill="1" applyAlignment="1">
      <alignment horizontal="center"/>
    </xf>
    <xf numFmtId="10" fontId="0" fillId="6" borderId="0" xfId="0" applyNumberFormat="1" applyFill="1" applyAlignment="1">
      <alignment horizontal="center"/>
    </xf>
    <xf numFmtId="14" fontId="0" fillId="6" borderId="0" xfId="0" applyNumberFormat="1" applyFill="1"/>
    <xf numFmtId="3" fontId="0" fillId="6" borderId="0" xfId="0" applyNumberFormat="1" applyFill="1"/>
    <xf numFmtId="1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14" fontId="0" fillId="4" borderId="0" xfId="0" applyNumberFormat="1" applyFill="1"/>
    <xf numFmtId="166" fontId="0" fillId="3" borderId="0" xfId="0" applyNumberForma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166" fontId="0" fillId="6" borderId="0" xfId="0" applyNumberFormat="1" applyFill="1"/>
    <xf numFmtId="0" fontId="0" fillId="0" borderId="0" xfId="0" applyAlignment="1"/>
    <xf numFmtId="0" fontId="0" fillId="0" borderId="0" xfId="0" applyNumberFormat="1" applyAlignment="1">
      <alignment horizontal="center" vertical="center"/>
    </xf>
    <xf numFmtId="0" fontId="3" fillId="0" borderId="11" xfId="0" applyFont="1" applyBorder="1"/>
    <xf numFmtId="0" fontId="0" fillId="7" borderId="10" xfId="0" applyFont="1" applyFill="1" applyBorder="1"/>
    <xf numFmtId="0" fontId="0" fillId="0" borderId="10" xfId="0" applyFont="1" applyBorder="1"/>
    <xf numFmtId="0" fontId="4" fillId="8" borderId="10" xfId="0" applyFont="1" applyFill="1" applyBorder="1"/>
    <xf numFmtId="0" fontId="4" fillId="8" borderId="12" xfId="0" applyFont="1" applyFill="1" applyBorder="1"/>
    <xf numFmtId="0" fontId="4" fillId="8" borderId="13" xfId="0" applyFont="1" applyFill="1" applyBorder="1"/>
    <xf numFmtId="0" fontId="0" fillId="0" borderId="0" xfId="0" applyAlignment="1">
      <alignment horizontal="right"/>
    </xf>
    <xf numFmtId="2" fontId="0" fillId="0" borderId="0" xfId="0" applyNumberFormat="1" applyAlignment="1">
      <alignment horizontal="right"/>
    </xf>
    <xf numFmtId="0" fontId="4" fillId="0" borderId="0" xfId="0" applyFont="1" applyFill="1" applyBorder="1"/>
    <xf numFmtId="0" fontId="4" fillId="8" borderId="0" xfId="0" applyFont="1" applyFill="1" applyBorder="1"/>
    <xf numFmtId="14" fontId="0" fillId="0" borderId="0" xfId="0" applyNumberFormat="1" applyFont="1" applyFill="1" applyBorder="1"/>
    <xf numFmtId="0" fontId="7" fillId="0" borderId="0" xfId="0" applyFont="1" applyFill="1" applyBorder="1"/>
    <xf numFmtId="0" fontId="8" fillId="0" borderId="0" xfId="0" applyFont="1"/>
    <xf numFmtId="0" fontId="0" fillId="2" borderId="0" xfId="0" applyFill="1"/>
    <xf numFmtId="0" fontId="0" fillId="9" borderId="0" xfId="0" applyFill="1"/>
    <xf numFmtId="0" fontId="0" fillId="2" borderId="0" xfId="0" applyFill="1" applyBorder="1" applyAlignment="1"/>
    <xf numFmtId="0" fontId="0" fillId="2" borderId="15" xfId="0" applyFill="1" applyBorder="1"/>
    <xf numFmtId="0" fontId="0" fillId="2" borderId="15" xfId="0" applyFill="1" applyBorder="1" applyAlignment="1"/>
    <xf numFmtId="0" fontId="0" fillId="9" borderId="16" xfId="0" applyFill="1" applyBorder="1"/>
    <xf numFmtId="0" fontId="0" fillId="9" borderId="14" xfId="0" applyFill="1" applyBorder="1"/>
    <xf numFmtId="0" fontId="0" fillId="0" borderId="0" xfId="0" applyBorder="1"/>
    <xf numFmtId="0" fontId="0" fillId="0" borderId="0" xfId="0" applyAlignment="1">
      <alignment horizontal="left" indent="1"/>
    </xf>
    <xf numFmtId="0" fontId="16" fillId="0" borderId="0" xfId="0" applyFont="1" applyFill="1" applyBorder="1"/>
    <xf numFmtId="0" fontId="12" fillId="6" borderId="16" xfId="0" applyFont="1" applyFill="1" applyBorder="1" applyAlignment="1">
      <alignment vertical="center"/>
    </xf>
    <xf numFmtId="0" fontId="12" fillId="6" borderId="14" xfId="0" applyFont="1" applyFill="1" applyBorder="1" applyAlignment="1">
      <alignment vertical="center"/>
    </xf>
    <xf numFmtId="0" fontId="0" fillId="0" borderId="32" xfId="0" applyBorder="1"/>
    <xf numFmtId="0" fontId="0" fillId="0" borderId="0" xfId="0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 applyProtection="1">
      <alignment horizontal="center" vertical="center"/>
      <protection locked="0"/>
    </xf>
    <xf numFmtId="0" fontId="0" fillId="0" borderId="0" xfId="0" applyBorder="1" applyAlignment="1"/>
    <xf numFmtId="14" fontId="25" fillId="0" borderId="0" xfId="0" applyNumberFormat="1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7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14" fontId="26" fillId="0" borderId="0" xfId="0" applyNumberFormat="1" applyFont="1" applyAlignment="1">
      <alignment wrapText="1"/>
    </xf>
    <xf numFmtId="0" fontId="25" fillId="0" borderId="0" xfId="0" applyFont="1" applyAlignment="1"/>
    <xf numFmtId="14" fontId="25" fillId="0" borderId="0" xfId="0" applyNumberFormat="1" applyFont="1" applyAlignment="1"/>
    <xf numFmtId="2" fontId="25" fillId="0" borderId="0" xfId="0" applyNumberFormat="1" applyFont="1" applyAlignment="1"/>
    <xf numFmtId="0" fontId="27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11" xfId="0" applyFont="1" applyBorder="1" applyAlignment="1">
      <alignment horizontal="center"/>
    </xf>
    <xf numFmtId="14" fontId="0" fillId="0" borderId="0" xfId="0" applyNumberFormat="1" applyAlignment="1">
      <alignment horizontal="left" indent="1"/>
    </xf>
    <xf numFmtId="14" fontId="16" fillId="0" borderId="0" xfId="0" applyNumberFormat="1" applyFont="1" applyFill="1" applyBorder="1"/>
    <xf numFmtId="0" fontId="25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1" fontId="2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9" fillId="0" borderId="23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30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6" fillId="11" borderId="0" xfId="0" applyFont="1" applyFill="1" applyBorder="1" applyAlignment="1">
      <alignment horizontal="center"/>
    </xf>
    <xf numFmtId="0" fontId="21" fillId="12" borderId="0" xfId="0" applyFont="1" applyFill="1" applyBorder="1" applyAlignment="1">
      <alignment horizontal="center"/>
    </xf>
    <xf numFmtId="14" fontId="18" fillId="0" borderId="23" xfId="0" applyNumberFormat="1" applyFont="1" applyBorder="1" applyAlignment="1">
      <alignment horizontal="center" vertical="center" wrapText="1"/>
    </xf>
    <xf numFmtId="0" fontId="19" fillId="0" borderId="23" xfId="0" applyFont="1" applyFill="1" applyBorder="1" applyAlignment="1">
      <alignment horizontal="center" vertical="center"/>
    </xf>
    <xf numFmtId="0" fontId="19" fillId="0" borderId="24" xfId="0" applyFont="1" applyFill="1" applyBorder="1" applyAlignment="1">
      <alignment horizontal="center" vertical="center"/>
    </xf>
    <xf numFmtId="0" fontId="19" fillId="0" borderId="25" xfId="0" applyFont="1" applyFill="1" applyBorder="1" applyAlignment="1">
      <alignment horizontal="center" vertical="center"/>
    </xf>
    <xf numFmtId="0" fontId="19" fillId="0" borderId="2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27" xfId="0" applyFont="1" applyFill="1" applyBorder="1" applyAlignment="1">
      <alignment horizontal="center" vertical="center"/>
    </xf>
    <xf numFmtId="0" fontId="19" fillId="0" borderId="28" xfId="0" applyFont="1" applyFill="1" applyBorder="1" applyAlignment="1">
      <alignment horizontal="center" vertical="center"/>
    </xf>
    <xf numFmtId="0" fontId="19" fillId="0" borderId="29" xfId="0" applyFont="1" applyFill="1" applyBorder="1" applyAlignment="1">
      <alignment horizontal="center" vertical="center"/>
    </xf>
    <xf numFmtId="0" fontId="19" fillId="0" borderId="30" xfId="0" applyFont="1" applyFill="1" applyBorder="1" applyAlignment="1">
      <alignment horizontal="center" vertical="center"/>
    </xf>
    <xf numFmtId="0" fontId="17" fillId="11" borderId="17" xfId="0" applyFont="1" applyFill="1" applyBorder="1" applyAlignment="1">
      <alignment horizontal="center" vertical="center"/>
    </xf>
    <xf numFmtId="0" fontId="17" fillId="11" borderId="18" xfId="0" applyFont="1" applyFill="1" applyBorder="1" applyAlignment="1">
      <alignment horizontal="center" vertical="center"/>
    </xf>
    <xf numFmtId="0" fontId="17" fillId="11" borderId="19" xfId="0" applyFont="1" applyFill="1" applyBorder="1" applyAlignment="1">
      <alignment horizontal="center" vertical="center"/>
    </xf>
    <xf numFmtId="0" fontId="17" fillId="11" borderId="20" xfId="0" applyFont="1" applyFill="1" applyBorder="1" applyAlignment="1">
      <alignment horizontal="center" vertical="center"/>
    </xf>
    <xf numFmtId="0" fontId="17" fillId="11" borderId="21" xfId="0" applyFont="1" applyFill="1" applyBorder="1" applyAlignment="1">
      <alignment horizontal="center" vertical="center"/>
    </xf>
    <xf numFmtId="0" fontId="17" fillId="11" borderId="22" xfId="0" applyFont="1" applyFill="1" applyBorder="1" applyAlignment="1">
      <alignment horizontal="center" vertical="center"/>
    </xf>
    <xf numFmtId="0" fontId="17" fillId="11" borderId="31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4" fillId="10" borderId="2" xfId="0" applyFont="1" applyFill="1" applyBorder="1" applyAlignment="1">
      <alignment horizontal="center" vertical="center"/>
    </xf>
    <xf numFmtId="0" fontId="14" fillId="10" borderId="3" xfId="0" applyFont="1" applyFill="1" applyBorder="1" applyAlignment="1">
      <alignment horizontal="center" vertical="center"/>
    </xf>
    <xf numFmtId="0" fontId="14" fillId="10" borderId="4" xfId="0" applyFont="1" applyFill="1" applyBorder="1" applyAlignment="1">
      <alignment horizontal="center" vertical="center"/>
    </xf>
    <xf numFmtId="0" fontId="14" fillId="10" borderId="7" xfId="0" applyFont="1" applyFill="1" applyBorder="1" applyAlignment="1">
      <alignment horizontal="center" vertical="center"/>
    </xf>
    <xf numFmtId="0" fontId="14" fillId="10" borderId="8" xfId="0" applyFont="1" applyFill="1" applyBorder="1" applyAlignment="1">
      <alignment horizontal="center" vertical="center"/>
    </xf>
    <xf numFmtId="0" fontId="14" fillId="10" borderId="9" xfId="0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7" fillId="10" borderId="4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15" fillId="10" borderId="2" xfId="0" applyFont="1" applyFill="1" applyBorder="1" applyAlignment="1">
      <alignment horizontal="center" vertical="center"/>
    </xf>
    <xf numFmtId="0" fontId="15" fillId="10" borderId="3" xfId="0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0" fontId="15" fillId="10" borderId="7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/>
    </xf>
    <xf numFmtId="0" fontId="15" fillId="10" borderId="9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8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4" fillId="2" borderId="16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13" fillId="6" borderId="16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font>
        <color rgb="FFFF0000"/>
      </font>
    </dxf>
    <dxf>
      <font>
        <color rgb="FF00B050"/>
      </font>
    </dxf>
    <dxf>
      <numFmt numFmtId="2" formatCode="0.00"/>
      <alignment horizontal="right" vertical="bottom" textRotation="0" wrapText="0" indent="0" justifyLastLine="0" shrinkToFit="0" readingOrder="0"/>
    </dxf>
    <dxf>
      <numFmt numFmtId="19" formatCode="dd/mm/yyyy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9" formatCode="dd/mm/yyyy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major"/>
      </font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major"/>
      </font>
      <numFmt numFmtId="2" formatCode="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maj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major"/>
      </font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theme="1"/>
        <name val="Century Gothic"/>
        <family val="2"/>
        <scheme val="major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0"/>
    </dxf>
    <dxf>
      <numFmt numFmtId="165" formatCode="#,##0.000"/>
    </dxf>
    <dxf>
      <numFmt numFmtId="19" formatCode="dd/mm/yyyy"/>
    </dxf>
    <dxf>
      <numFmt numFmtId="4" formatCode="#,##0.00"/>
    </dxf>
  </dxfs>
  <tableStyles count="0" defaultTableStyle="TableStyleMedium2" defaultPivotStyle="PivotStyleLight16"/>
  <colors>
    <mruColors>
      <color rgb="FFF077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3.xml"/><Relationship Id="rId26" Type="http://schemas.openxmlformats.org/officeDocument/2006/relationships/powerPivotData" Target="model/item.data"/><Relationship Id="rId39" Type="http://schemas.openxmlformats.org/officeDocument/2006/relationships/customXml" Target="../customXml/item12.xml"/><Relationship Id="rId21" Type="http://schemas.microsoft.com/office/2007/relationships/slicerCache" Target="slicerCaches/slicerCache6.xml"/><Relationship Id="rId34" Type="http://schemas.openxmlformats.org/officeDocument/2006/relationships/customXml" Target="../customXml/item7.xml"/><Relationship Id="rId42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5.xml"/><Relationship Id="rId37" Type="http://schemas.openxmlformats.org/officeDocument/2006/relationships/customXml" Target="../customXml/item10.xml"/><Relationship Id="rId40" Type="http://schemas.openxmlformats.org/officeDocument/2006/relationships/customXml" Target="../customXml/item13.xml"/><Relationship Id="rId45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36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31" Type="http://schemas.openxmlformats.org/officeDocument/2006/relationships/customXml" Target="../customXml/item4.xml"/><Relationship Id="rId44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Relationship Id="rId35" Type="http://schemas.openxmlformats.org/officeDocument/2006/relationships/customXml" Target="../customXml/item8.xml"/><Relationship Id="rId43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6.xml"/><Relationship Id="rId38" Type="http://schemas.openxmlformats.org/officeDocument/2006/relationships/customXml" Target="../customXml/item11.xml"/><Relationship Id="rId46" Type="http://schemas.microsoft.com/office/2006/relationships/vbaProject" Target="vbaProject.bin"/><Relationship Id="rId20" Type="http://schemas.microsoft.com/office/2007/relationships/slicerCache" Target="slicerCaches/slicerCache5.xml"/><Relationship Id="rId41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[AnaliseBKP.xlsm]Teste!Tabela dinâmica18</c:name>
    <c:fmtId val="0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5672913117546849"/>
              <c:y val="-5.092592592592592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0.15218625780806369"/>
              <c:y val="-5.555555555555546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Teste!$B$4</c:f>
              <c:strCache>
                <c:ptCount val="1"/>
                <c:pt idx="0">
                  <c:v>Contagem de TIPO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Teste!$A$5:$A$106</c:f>
              <c:multiLvlStrCache>
                <c:ptCount val="99"/>
                <c:lvl>
                  <c:pt idx="0">
                    <c:v>30/04/2019</c:v>
                  </c:pt>
                  <c:pt idx="1">
                    <c:v>01/05/2019</c:v>
                  </c:pt>
                  <c:pt idx="2">
                    <c:v>02/05/2019</c:v>
                  </c:pt>
                  <c:pt idx="3">
                    <c:v>03/05/2019</c:v>
                  </c:pt>
                  <c:pt idx="4">
                    <c:v>04/05/2019</c:v>
                  </c:pt>
                  <c:pt idx="5">
                    <c:v>05/05/2019</c:v>
                  </c:pt>
                  <c:pt idx="6">
                    <c:v>11/06/2019</c:v>
                  </c:pt>
                  <c:pt idx="7">
                    <c:v>12/06/2019</c:v>
                  </c:pt>
                  <c:pt idx="8">
                    <c:v>13/06/2019</c:v>
                  </c:pt>
                  <c:pt idx="9">
                    <c:v>20/06/2019</c:v>
                  </c:pt>
                  <c:pt idx="10">
                    <c:v>21/06/2019</c:v>
                  </c:pt>
                  <c:pt idx="11">
                    <c:v>22/06/2019</c:v>
                  </c:pt>
                  <c:pt idx="12">
                    <c:v>23/06/2019</c:v>
                  </c:pt>
                  <c:pt idx="13">
                    <c:v>24/06/2019</c:v>
                  </c:pt>
                  <c:pt idx="14">
                    <c:v>25/06/2019</c:v>
                  </c:pt>
                  <c:pt idx="15">
                    <c:v>26/06/2019</c:v>
                  </c:pt>
                  <c:pt idx="16">
                    <c:v>27/06/2019</c:v>
                  </c:pt>
                  <c:pt idx="17">
                    <c:v>28/06/2019</c:v>
                  </c:pt>
                  <c:pt idx="18">
                    <c:v>29/06/2019</c:v>
                  </c:pt>
                  <c:pt idx="19">
                    <c:v>30/06/2019</c:v>
                  </c:pt>
                  <c:pt idx="20">
                    <c:v>01/07/2019</c:v>
                  </c:pt>
                  <c:pt idx="21">
                    <c:v>02/07/2019</c:v>
                  </c:pt>
                  <c:pt idx="22">
                    <c:v>03/07/2019</c:v>
                  </c:pt>
                  <c:pt idx="23">
                    <c:v>04/07/2019</c:v>
                  </c:pt>
                  <c:pt idx="24">
                    <c:v>05/07/2019</c:v>
                  </c:pt>
                  <c:pt idx="25">
                    <c:v>06/07/2019</c:v>
                  </c:pt>
                  <c:pt idx="26">
                    <c:v>07/07/2019</c:v>
                  </c:pt>
                  <c:pt idx="27">
                    <c:v>08/07/2019</c:v>
                  </c:pt>
                  <c:pt idx="28">
                    <c:v>09/07/2019</c:v>
                  </c:pt>
                  <c:pt idx="29">
                    <c:v>10/07/2019</c:v>
                  </c:pt>
                  <c:pt idx="30">
                    <c:v>11/07/2019</c:v>
                  </c:pt>
                  <c:pt idx="31">
                    <c:v>12/07/2019</c:v>
                  </c:pt>
                  <c:pt idx="32">
                    <c:v>13/07/2019</c:v>
                  </c:pt>
                  <c:pt idx="33">
                    <c:v>14/07/2019</c:v>
                  </c:pt>
                  <c:pt idx="34">
                    <c:v>15/07/2019</c:v>
                  </c:pt>
                  <c:pt idx="35">
                    <c:v>16/07/2019</c:v>
                  </c:pt>
                  <c:pt idx="36">
                    <c:v>17/07/2019</c:v>
                  </c:pt>
                  <c:pt idx="37">
                    <c:v>22/07/2019</c:v>
                  </c:pt>
                  <c:pt idx="38">
                    <c:v>23/07/2019</c:v>
                  </c:pt>
                  <c:pt idx="39">
                    <c:v>24/07/2019</c:v>
                  </c:pt>
                  <c:pt idx="40">
                    <c:v>25/07/2019</c:v>
                  </c:pt>
                  <c:pt idx="41">
                    <c:v>26/07/2019</c:v>
                  </c:pt>
                  <c:pt idx="42">
                    <c:v>27/07/2019</c:v>
                  </c:pt>
                  <c:pt idx="43">
                    <c:v>28/07/2019</c:v>
                  </c:pt>
                  <c:pt idx="44">
                    <c:v>29/07/2019</c:v>
                  </c:pt>
                  <c:pt idx="45">
                    <c:v>30/07/2019</c:v>
                  </c:pt>
                  <c:pt idx="46">
                    <c:v>31/07/2019</c:v>
                  </c:pt>
                  <c:pt idx="47">
                    <c:v>01/08/2019</c:v>
                  </c:pt>
                  <c:pt idx="48">
                    <c:v>02/08/2019</c:v>
                  </c:pt>
                  <c:pt idx="49">
                    <c:v>05/08/2019</c:v>
                  </c:pt>
                  <c:pt idx="50">
                    <c:v>06/08/2019</c:v>
                  </c:pt>
                  <c:pt idx="51">
                    <c:v>07/08/2019</c:v>
                  </c:pt>
                  <c:pt idx="52">
                    <c:v>08/08/2019</c:v>
                  </c:pt>
                  <c:pt idx="53">
                    <c:v>09/08/2019</c:v>
                  </c:pt>
                  <c:pt idx="54">
                    <c:v>10/08/2019</c:v>
                  </c:pt>
                  <c:pt idx="55">
                    <c:v>11/08/2019</c:v>
                  </c:pt>
                  <c:pt idx="56">
                    <c:v>14/08/2019</c:v>
                  </c:pt>
                  <c:pt idx="57">
                    <c:v>15/08/2019</c:v>
                  </c:pt>
                  <c:pt idx="58">
                    <c:v>16/08/2019</c:v>
                  </c:pt>
                  <c:pt idx="59">
                    <c:v>17/08/2019</c:v>
                  </c:pt>
                  <c:pt idx="60">
                    <c:v>18/08/2019</c:v>
                  </c:pt>
                  <c:pt idx="61">
                    <c:v>19/08/2019</c:v>
                  </c:pt>
                  <c:pt idx="62">
                    <c:v>20/08/2019</c:v>
                  </c:pt>
                  <c:pt idx="63">
                    <c:v>21/08/2019</c:v>
                  </c:pt>
                  <c:pt idx="64">
                    <c:v>22/08/2019</c:v>
                  </c:pt>
                  <c:pt idx="65">
                    <c:v>23/08/2019</c:v>
                  </c:pt>
                  <c:pt idx="66">
                    <c:v>25/08/2019</c:v>
                  </c:pt>
                  <c:pt idx="67">
                    <c:v>26/08/2019</c:v>
                  </c:pt>
                  <c:pt idx="68">
                    <c:v>27/08/2019</c:v>
                  </c:pt>
                  <c:pt idx="69">
                    <c:v> 30/08/2019</c:v>
                  </c:pt>
                  <c:pt idx="70">
                    <c:v>31/08/2019</c:v>
                  </c:pt>
                  <c:pt idx="71">
                    <c:v>01/09/2019</c:v>
                  </c:pt>
                  <c:pt idx="72">
                    <c:v>02/09/2019</c:v>
                  </c:pt>
                  <c:pt idx="73">
                    <c:v>03/09/2019</c:v>
                  </c:pt>
                  <c:pt idx="74">
                    <c:v>15/05/2019</c:v>
                  </c:pt>
                  <c:pt idx="75">
                    <c:v>16/05/2019</c:v>
                  </c:pt>
                  <c:pt idx="76">
                    <c:v>17/05/2019</c:v>
                  </c:pt>
                  <c:pt idx="77">
                    <c:v>18/05/2019</c:v>
                  </c:pt>
                  <c:pt idx="78">
                    <c:v>19/05/2019</c:v>
                  </c:pt>
                  <c:pt idx="79">
                    <c:v>20/05/2019</c:v>
                  </c:pt>
                  <c:pt idx="80">
                    <c:v>21/05/2019</c:v>
                  </c:pt>
                  <c:pt idx="81">
                    <c:v>22/05/2019</c:v>
                  </c:pt>
                  <c:pt idx="82">
                    <c:v>14/06/2019</c:v>
                  </c:pt>
                  <c:pt idx="83">
                    <c:v>15/06/2019</c:v>
                  </c:pt>
                  <c:pt idx="84">
                    <c:v>16/06/2019</c:v>
                  </c:pt>
                  <c:pt idx="85">
                    <c:v>17/06/2019</c:v>
                  </c:pt>
                  <c:pt idx="86">
                    <c:v>18/06/2019</c:v>
                  </c:pt>
                  <c:pt idx="87">
                    <c:v>19/06/2019</c:v>
                  </c:pt>
                  <c:pt idx="88">
                    <c:v>18/07/2019</c:v>
                  </c:pt>
                  <c:pt idx="89">
                    <c:v>19/07/2019</c:v>
                  </c:pt>
                  <c:pt idx="90">
                    <c:v>20/07/2019</c:v>
                  </c:pt>
                  <c:pt idx="91">
                    <c:v>21/07/2019</c:v>
                  </c:pt>
                  <c:pt idx="92">
                    <c:v>03/08/2019</c:v>
                  </c:pt>
                  <c:pt idx="93">
                    <c:v>04/08/2019</c:v>
                  </c:pt>
                  <c:pt idx="94">
                    <c:v>12/08/2019</c:v>
                  </c:pt>
                  <c:pt idx="95">
                    <c:v>13/08/2019</c:v>
                  </c:pt>
                  <c:pt idx="96">
                    <c:v>24/08/2019</c:v>
                  </c:pt>
                  <c:pt idx="97">
                    <c:v>28/08/2019</c:v>
                  </c:pt>
                  <c:pt idx="98">
                    <c:v>29/08/2019</c:v>
                  </c:pt>
                </c:lvl>
                <c:lvl>
                  <c:pt idx="0">
                    <c:v>Completa</c:v>
                  </c:pt>
                  <c:pt idx="74">
                    <c:v>Incompleta</c:v>
                  </c:pt>
                </c:lvl>
              </c:multiLvlStrCache>
            </c:multiLvlStrRef>
          </c:cat>
          <c:val>
            <c:numRef>
              <c:f>Teste!$B$5:$B$106</c:f>
              <c:numCache>
                <c:formatCode>General</c:formatCode>
                <c:ptCount val="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534-4405-8B2E-D80CBA824699}"/>
            </c:ext>
          </c:extLst>
        </c:ser>
        <c:ser>
          <c:idx val="1"/>
          <c:order val="1"/>
          <c:tx>
            <c:strRef>
              <c:f>Teste!$C$4</c:f>
              <c:strCache>
                <c:ptCount val="1"/>
                <c:pt idx="0">
                  <c:v>Máx. de DATA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Teste!$A$5:$A$106</c:f>
              <c:multiLvlStrCache>
                <c:ptCount val="99"/>
                <c:lvl>
                  <c:pt idx="0">
                    <c:v>30/04/2019</c:v>
                  </c:pt>
                  <c:pt idx="1">
                    <c:v>01/05/2019</c:v>
                  </c:pt>
                  <c:pt idx="2">
                    <c:v>02/05/2019</c:v>
                  </c:pt>
                  <c:pt idx="3">
                    <c:v>03/05/2019</c:v>
                  </c:pt>
                  <c:pt idx="4">
                    <c:v>04/05/2019</c:v>
                  </c:pt>
                  <c:pt idx="5">
                    <c:v>05/05/2019</c:v>
                  </c:pt>
                  <c:pt idx="6">
                    <c:v>11/06/2019</c:v>
                  </c:pt>
                  <c:pt idx="7">
                    <c:v>12/06/2019</c:v>
                  </c:pt>
                  <c:pt idx="8">
                    <c:v>13/06/2019</c:v>
                  </c:pt>
                  <c:pt idx="9">
                    <c:v>20/06/2019</c:v>
                  </c:pt>
                  <c:pt idx="10">
                    <c:v>21/06/2019</c:v>
                  </c:pt>
                  <c:pt idx="11">
                    <c:v>22/06/2019</c:v>
                  </c:pt>
                  <c:pt idx="12">
                    <c:v>23/06/2019</c:v>
                  </c:pt>
                  <c:pt idx="13">
                    <c:v>24/06/2019</c:v>
                  </c:pt>
                  <c:pt idx="14">
                    <c:v>25/06/2019</c:v>
                  </c:pt>
                  <c:pt idx="15">
                    <c:v>26/06/2019</c:v>
                  </c:pt>
                  <c:pt idx="16">
                    <c:v>27/06/2019</c:v>
                  </c:pt>
                  <c:pt idx="17">
                    <c:v>28/06/2019</c:v>
                  </c:pt>
                  <c:pt idx="18">
                    <c:v>29/06/2019</c:v>
                  </c:pt>
                  <c:pt idx="19">
                    <c:v>30/06/2019</c:v>
                  </c:pt>
                  <c:pt idx="20">
                    <c:v>01/07/2019</c:v>
                  </c:pt>
                  <c:pt idx="21">
                    <c:v>02/07/2019</c:v>
                  </c:pt>
                  <c:pt idx="22">
                    <c:v>03/07/2019</c:v>
                  </c:pt>
                  <c:pt idx="23">
                    <c:v>04/07/2019</c:v>
                  </c:pt>
                  <c:pt idx="24">
                    <c:v>05/07/2019</c:v>
                  </c:pt>
                  <c:pt idx="25">
                    <c:v>06/07/2019</c:v>
                  </c:pt>
                  <c:pt idx="26">
                    <c:v>07/07/2019</c:v>
                  </c:pt>
                  <c:pt idx="27">
                    <c:v>08/07/2019</c:v>
                  </c:pt>
                  <c:pt idx="28">
                    <c:v>09/07/2019</c:v>
                  </c:pt>
                  <c:pt idx="29">
                    <c:v>10/07/2019</c:v>
                  </c:pt>
                  <c:pt idx="30">
                    <c:v>11/07/2019</c:v>
                  </c:pt>
                  <c:pt idx="31">
                    <c:v>12/07/2019</c:v>
                  </c:pt>
                  <c:pt idx="32">
                    <c:v>13/07/2019</c:v>
                  </c:pt>
                  <c:pt idx="33">
                    <c:v>14/07/2019</c:v>
                  </c:pt>
                  <c:pt idx="34">
                    <c:v>15/07/2019</c:v>
                  </c:pt>
                  <c:pt idx="35">
                    <c:v>16/07/2019</c:v>
                  </c:pt>
                  <c:pt idx="36">
                    <c:v>17/07/2019</c:v>
                  </c:pt>
                  <c:pt idx="37">
                    <c:v>22/07/2019</c:v>
                  </c:pt>
                  <c:pt idx="38">
                    <c:v>23/07/2019</c:v>
                  </c:pt>
                  <c:pt idx="39">
                    <c:v>24/07/2019</c:v>
                  </c:pt>
                  <c:pt idx="40">
                    <c:v>25/07/2019</c:v>
                  </c:pt>
                  <c:pt idx="41">
                    <c:v>26/07/2019</c:v>
                  </c:pt>
                  <c:pt idx="42">
                    <c:v>27/07/2019</c:v>
                  </c:pt>
                  <c:pt idx="43">
                    <c:v>28/07/2019</c:v>
                  </c:pt>
                  <c:pt idx="44">
                    <c:v>29/07/2019</c:v>
                  </c:pt>
                  <c:pt idx="45">
                    <c:v>30/07/2019</c:v>
                  </c:pt>
                  <c:pt idx="46">
                    <c:v>31/07/2019</c:v>
                  </c:pt>
                  <c:pt idx="47">
                    <c:v>01/08/2019</c:v>
                  </c:pt>
                  <c:pt idx="48">
                    <c:v>02/08/2019</c:v>
                  </c:pt>
                  <c:pt idx="49">
                    <c:v>05/08/2019</c:v>
                  </c:pt>
                  <c:pt idx="50">
                    <c:v>06/08/2019</c:v>
                  </c:pt>
                  <c:pt idx="51">
                    <c:v>07/08/2019</c:v>
                  </c:pt>
                  <c:pt idx="52">
                    <c:v>08/08/2019</c:v>
                  </c:pt>
                  <c:pt idx="53">
                    <c:v>09/08/2019</c:v>
                  </c:pt>
                  <c:pt idx="54">
                    <c:v>10/08/2019</c:v>
                  </c:pt>
                  <c:pt idx="55">
                    <c:v>11/08/2019</c:v>
                  </c:pt>
                  <c:pt idx="56">
                    <c:v>14/08/2019</c:v>
                  </c:pt>
                  <c:pt idx="57">
                    <c:v>15/08/2019</c:v>
                  </c:pt>
                  <c:pt idx="58">
                    <c:v>16/08/2019</c:v>
                  </c:pt>
                  <c:pt idx="59">
                    <c:v>17/08/2019</c:v>
                  </c:pt>
                  <c:pt idx="60">
                    <c:v>18/08/2019</c:v>
                  </c:pt>
                  <c:pt idx="61">
                    <c:v>19/08/2019</c:v>
                  </c:pt>
                  <c:pt idx="62">
                    <c:v>20/08/2019</c:v>
                  </c:pt>
                  <c:pt idx="63">
                    <c:v>21/08/2019</c:v>
                  </c:pt>
                  <c:pt idx="64">
                    <c:v>22/08/2019</c:v>
                  </c:pt>
                  <c:pt idx="65">
                    <c:v>23/08/2019</c:v>
                  </c:pt>
                  <c:pt idx="66">
                    <c:v>25/08/2019</c:v>
                  </c:pt>
                  <c:pt idx="67">
                    <c:v>26/08/2019</c:v>
                  </c:pt>
                  <c:pt idx="68">
                    <c:v>27/08/2019</c:v>
                  </c:pt>
                  <c:pt idx="69">
                    <c:v> 30/08/2019</c:v>
                  </c:pt>
                  <c:pt idx="70">
                    <c:v>31/08/2019</c:v>
                  </c:pt>
                  <c:pt idx="71">
                    <c:v>01/09/2019</c:v>
                  </c:pt>
                  <c:pt idx="72">
                    <c:v>02/09/2019</c:v>
                  </c:pt>
                  <c:pt idx="73">
                    <c:v>03/09/2019</c:v>
                  </c:pt>
                  <c:pt idx="74">
                    <c:v>15/05/2019</c:v>
                  </c:pt>
                  <c:pt idx="75">
                    <c:v>16/05/2019</c:v>
                  </c:pt>
                  <c:pt idx="76">
                    <c:v>17/05/2019</c:v>
                  </c:pt>
                  <c:pt idx="77">
                    <c:v>18/05/2019</c:v>
                  </c:pt>
                  <c:pt idx="78">
                    <c:v>19/05/2019</c:v>
                  </c:pt>
                  <c:pt idx="79">
                    <c:v>20/05/2019</c:v>
                  </c:pt>
                  <c:pt idx="80">
                    <c:v>21/05/2019</c:v>
                  </c:pt>
                  <c:pt idx="81">
                    <c:v>22/05/2019</c:v>
                  </c:pt>
                  <c:pt idx="82">
                    <c:v>14/06/2019</c:v>
                  </c:pt>
                  <c:pt idx="83">
                    <c:v>15/06/2019</c:v>
                  </c:pt>
                  <c:pt idx="84">
                    <c:v>16/06/2019</c:v>
                  </c:pt>
                  <c:pt idx="85">
                    <c:v>17/06/2019</c:v>
                  </c:pt>
                  <c:pt idx="86">
                    <c:v>18/06/2019</c:v>
                  </c:pt>
                  <c:pt idx="87">
                    <c:v>19/06/2019</c:v>
                  </c:pt>
                  <c:pt idx="88">
                    <c:v>18/07/2019</c:v>
                  </c:pt>
                  <c:pt idx="89">
                    <c:v>19/07/2019</c:v>
                  </c:pt>
                  <c:pt idx="90">
                    <c:v>20/07/2019</c:v>
                  </c:pt>
                  <c:pt idx="91">
                    <c:v>21/07/2019</c:v>
                  </c:pt>
                  <c:pt idx="92">
                    <c:v>03/08/2019</c:v>
                  </c:pt>
                  <c:pt idx="93">
                    <c:v>04/08/2019</c:v>
                  </c:pt>
                  <c:pt idx="94">
                    <c:v>12/08/2019</c:v>
                  </c:pt>
                  <c:pt idx="95">
                    <c:v>13/08/2019</c:v>
                  </c:pt>
                  <c:pt idx="96">
                    <c:v>24/08/2019</c:v>
                  </c:pt>
                  <c:pt idx="97">
                    <c:v>28/08/2019</c:v>
                  </c:pt>
                  <c:pt idx="98">
                    <c:v>29/08/2019</c:v>
                  </c:pt>
                </c:lvl>
                <c:lvl>
                  <c:pt idx="0">
                    <c:v>Completa</c:v>
                  </c:pt>
                  <c:pt idx="74">
                    <c:v>Incompleta</c:v>
                  </c:pt>
                </c:lvl>
              </c:multiLvlStrCache>
            </c:multiLvlStrRef>
          </c:cat>
          <c:val>
            <c:numRef>
              <c:f>Teste!$C$5:$C$106</c:f>
              <c:numCache>
                <c:formatCode>m/d/yyyy</c:formatCode>
                <c:ptCount val="99"/>
                <c:pt idx="0">
                  <c:v>43585</c:v>
                </c:pt>
                <c:pt idx="1">
                  <c:v>43586</c:v>
                </c:pt>
                <c:pt idx="2">
                  <c:v>43587</c:v>
                </c:pt>
                <c:pt idx="3">
                  <c:v>43588</c:v>
                </c:pt>
                <c:pt idx="4">
                  <c:v>43589</c:v>
                </c:pt>
                <c:pt idx="5">
                  <c:v>43590</c:v>
                </c:pt>
                <c:pt idx="6">
                  <c:v>43627</c:v>
                </c:pt>
                <c:pt idx="7">
                  <c:v>43628</c:v>
                </c:pt>
                <c:pt idx="8">
                  <c:v>43629</c:v>
                </c:pt>
                <c:pt idx="9">
                  <c:v>43636</c:v>
                </c:pt>
                <c:pt idx="10">
                  <c:v>43637</c:v>
                </c:pt>
                <c:pt idx="11">
                  <c:v>43638</c:v>
                </c:pt>
                <c:pt idx="12">
                  <c:v>43639</c:v>
                </c:pt>
                <c:pt idx="13">
                  <c:v>43640</c:v>
                </c:pt>
                <c:pt idx="14">
                  <c:v>43641</c:v>
                </c:pt>
                <c:pt idx="15">
                  <c:v>43642</c:v>
                </c:pt>
                <c:pt idx="16">
                  <c:v>43643</c:v>
                </c:pt>
                <c:pt idx="17">
                  <c:v>43644</c:v>
                </c:pt>
                <c:pt idx="18">
                  <c:v>43645</c:v>
                </c:pt>
                <c:pt idx="19">
                  <c:v>43646</c:v>
                </c:pt>
                <c:pt idx="20">
                  <c:v>43647</c:v>
                </c:pt>
                <c:pt idx="21">
                  <c:v>43648</c:v>
                </c:pt>
                <c:pt idx="22">
                  <c:v>43649</c:v>
                </c:pt>
                <c:pt idx="23">
                  <c:v>43650</c:v>
                </c:pt>
                <c:pt idx="24">
                  <c:v>43651</c:v>
                </c:pt>
                <c:pt idx="25">
                  <c:v>43652</c:v>
                </c:pt>
                <c:pt idx="26">
                  <c:v>43653</c:v>
                </c:pt>
                <c:pt idx="27">
                  <c:v>43654</c:v>
                </c:pt>
                <c:pt idx="28">
                  <c:v>43655</c:v>
                </c:pt>
                <c:pt idx="29">
                  <c:v>43656</c:v>
                </c:pt>
                <c:pt idx="30">
                  <c:v>43657</c:v>
                </c:pt>
                <c:pt idx="31">
                  <c:v>43658</c:v>
                </c:pt>
                <c:pt idx="32">
                  <c:v>43659</c:v>
                </c:pt>
                <c:pt idx="33">
                  <c:v>43660</c:v>
                </c:pt>
                <c:pt idx="34">
                  <c:v>43661</c:v>
                </c:pt>
                <c:pt idx="35">
                  <c:v>43662</c:v>
                </c:pt>
                <c:pt idx="36">
                  <c:v>43663</c:v>
                </c:pt>
                <c:pt idx="37">
                  <c:v>43668</c:v>
                </c:pt>
                <c:pt idx="38">
                  <c:v>43669</c:v>
                </c:pt>
                <c:pt idx="39">
                  <c:v>43670</c:v>
                </c:pt>
                <c:pt idx="40">
                  <c:v>43671</c:v>
                </c:pt>
                <c:pt idx="41">
                  <c:v>43672</c:v>
                </c:pt>
                <c:pt idx="42">
                  <c:v>43673</c:v>
                </c:pt>
                <c:pt idx="43">
                  <c:v>43674</c:v>
                </c:pt>
                <c:pt idx="44">
                  <c:v>43675</c:v>
                </c:pt>
                <c:pt idx="45">
                  <c:v>43676</c:v>
                </c:pt>
                <c:pt idx="46">
                  <c:v>43677</c:v>
                </c:pt>
                <c:pt idx="47">
                  <c:v>43678</c:v>
                </c:pt>
                <c:pt idx="48">
                  <c:v>43679</c:v>
                </c:pt>
                <c:pt idx="49">
                  <c:v>43682</c:v>
                </c:pt>
                <c:pt idx="50">
                  <c:v>43683</c:v>
                </c:pt>
                <c:pt idx="51">
                  <c:v>43684</c:v>
                </c:pt>
                <c:pt idx="52">
                  <c:v>43685</c:v>
                </c:pt>
                <c:pt idx="53">
                  <c:v>43686</c:v>
                </c:pt>
                <c:pt idx="54">
                  <c:v>43687</c:v>
                </c:pt>
                <c:pt idx="55">
                  <c:v>43688</c:v>
                </c:pt>
                <c:pt idx="56">
                  <c:v>43691</c:v>
                </c:pt>
                <c:pt idx="57">
                  <c:v>43692</c:v>
                </c:pt>
                <c:pt idx="58">
                  <c:v>43693</c:v>
                </c:pt>
                <c:pt idx="59">
                  <c:v>43694</c:v>
                </c:pt>
                <c:pt idx="60">
                  <c:v>43695</c:v>
                </c:pt>
                <c:pt idx="61">
                  <c:v>43696</c:v>
                </c:pt>
                <c:pt idx="62">
                  <c:v>43697</c:v>
                </c:pt>
                <c:pt idx="63">
                  <c:v>43698</c:v>
                </c:pt>
                <c:pt idx="64">
                  <c:v>43699</c:v>
                </c:pt>
                <c:pt idx="65">
                  <c:v>43700</c:v>
                </c:pt>
                <c:pt idx="66">
                  <c:v>43702</c:v>
                </c:pt>
                <c:pt idx="67">
                  <c:v>43703</c:v>
                </c:pt>
                <c:pt idx="68">
                  <c:v>43704</c:v>
                </c:pt>
                <c:pt idx="69">
                  <c:v>0</c:v>
                </c:pt>
                <c:pt idx="70">
                  <c:v>43708</c:v>
                </c:pt>
                <c:pt idx="71">
                  <c:v>43709</c:v>
                </c:pt>
                <c:pt idx="72">
                  <c:v>43710</c:v>
                </c:pt>
                <c:pt idx="73">
                  <c:v>43711</c:v>
                </c:pt>
                <c:pt idx="74">
                  <c:v>43600</c:v>
                </c:pt>
                <c:pt idx="75">
                  <c:v>43601</c:v>
                </c:pt>
                <c:pt idx="76">
                  <c:v>43602</c:v>
                </c:pt>
                <c:pt idx="77">
                  <c:v>43603</c:v>
                </c:pt>
                <c:pt idx="78">
                  <c:v>43604</c:v>
                </c:pt>
                <c:pt idx="79">
                  <c:v>43605</c:v>
                </c:pt>
                <c:pt idx="80">
                  <c:v>43606</c:v>
                </c:pt>
                <c:pt idx="81">
                  <c:v>43607</c:v>
                </c:pt>
                <c:pt idx="82">
                  <c:v>43630</c:v>
                </c:pt>
                <c:pt idx="83">
                  <c:v>43631</c:v>
                </c:pt>
                <c:pt idx="84">
                  <c:v>43632</c:v>
                </c:pt>
                <c:pt idx="85">
                  <c:v>43633</c:v>
                </c:pt>
                <c:pt idx="86">
                  <c:v>43634</c:v>
                </c:pt>
                <c:pt idx="87">
                  <c:v>43635</c:v>
                </c:pt>
                <c:pt idx="88">
                  <c:v>43664</c:v>
                </c:pt>
                <c:pt idx="89">
                  <c:v>43665</c:v>
                </c:pt>
                <c:pt idx="90">
                  <c:v>43666</c:v>
                </c:pt>
                <c:pt idx="91">
                  <c:v>43667</c:v>
                </c:pt>
                <c:pt idx="92">
                  <c:v>43680</c:v>
                </c:pt>
                <c:pt idx="93">
                  <c:v>43681</c:v>
                </c:pt>
                <c:pt idx="94">
                  <c:v>43689</c:v>
                </c:pt>
                <c:pt idx="95">
                  <c:v>43690</c:v>
                </c:pt>
                <c:pt idx="96">
                  <c:v>43701</c:v>
                </c:pt>
                <c:pt idx="97">
                  <c:v>43705</c:v>
                </c:pt>
                <c:pt idx="98">
                  <c:v>43706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534-4405-8B2E-D80CBA8246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767636704"/>
        <c:axId val="205750768"/>
      </c:barChart>
      <c:catAx>
        <c:axId val="767636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750768"/>
        <c:crosses val="autoZero"/>
        <c:auto val="1"/>
        <c:lblAlgn val="ctr"/>
        <c:lblOffset val="100"/>
        <c:noMultiLvlLbl val="0"/>
      </c:catAx>
      <c:valAx>
        <c:axId val="20575076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76763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plotArea>
      <cx:plotAreaRegion>
        <cx:series layoutId="funnel" uniqueId="{866FBFA6-472F-4758-8FD1-519A09C6E21F}">
          <cx:tx>
            <cx:txData>
              <cx:f>_xlchart.v2.1</cx:f>
              <cx:v>DATA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_xlchart.v2.3</cx:f>
      </cx:strDim>
      <cx:numDim type="val">
        <cx:f>_xlchart.v2.5</cx:f>
      </cx:numDim>
    </cx:data>
  </cx:chartData>
  <cx:chart>
    <cx:plotArea>
      <cx:plotAreaRegion>
        <cx:series layoutId="funnel" uniqueId="{0BB3AA5A-42C2-4EE5-AE7F-0B30381C353F}">
          <cx:tx>
            <cx:txData>
              <cx:f>_xlchart.v2.4</cx:f>
              <cx:v>DATA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_xlchart.v2.9</cx:f>
      </cx:strDim>
      <cx:numDim type="val">
        <cx:f>_xlchart.v2.11</cx:f>
      </cx:numDim>
    </cx:data>
  </cx:chartData>
  <cx:chart>
    <cx:plotArea>
      <cx:plotAreaRegion>
        <cx:series layoutId="funnel" uniqueId="{866FBFA6-472F-4758-8FD1-519A09C6E21F}">
          <cx:tx>
            <cx:txData>
              <cx:f>_xlchart.v2.10</cx:f>
              <cx:v>DATA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majorTickMarks type="out"/>
        <cx:tickLabels/>
      </cx:axis>
    </cx:plotArea>
  </cx:chart>
  <cx:spPr>
    <a:ln w="12700">
      <a:solidFill>
        <a:schemeClr val="bg1">
          <a:lumMod val="75000"/>
        </a:schemeClr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_xlchart.v2.6</cx:f>
      </cx:strDim>
      <cx:numDim type="val">
        <cx:f>_xlchart.v2.8</cx:f>
      </cx:numDim>
    </cx:data>
  </cx:chartData>
  <cx:chart>
    <cx:plotArea>
      <cx:plotAreaRegion>
        <cx:series layoutId="funnel" uniqueId="{0BB3AA5A-42C2-4EE5-AE7F-0B30381C353F}">
          <cx:tx>
            <cx:txData>
              <cx:f>_xlchart.v2.7</cx:f>
              <cx:v>DATA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pt-BR" sz="900" b="0" i="0" u="none" strike="noStrike" baseline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latin typeface="Century Gothic" panose="020B0502020202020204"/>
            </a:endParaRPr>
          </a:p>
        </cx:txPr>
      </cx:axis>
    </cx:plotArea>
  </cx:chart>
  <cx:spPr>
    <a:ln w="12700">
      <a:solidFill>
        <a:schemeClr val="bg1">
          <a:lumMod val="75000"/>
        </a:schemeClr>
      </a:solidFill>
    </a:ln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_xlchart.v2.12</cx:f>
      </cx:strDim>
      <cx:numDim type="val">
        <cx:f>_xlchart.v2.14</cx:f>
      </cx:numDim>
    </cx:data>
  </cx:chartData>
  <cx:chart>
    <cx:plotArea>
      <cx:plotAreaRegion>
        <cx:series layoutId="funnel" uniqueId="{F2DFA2E2-2A90-4818-BFE4-A85C7EF891E5}">
          <cx:tx>
            <cx:txData>
              <cx:f>_xlchart.v2.13</cx:f>
              <cx:v>DATA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majorTickMarks type="out"/>
        <cx:tickLabels/>
      </cx:axis>
    </cx:plotArea>
  </cx:chart>
  <cx:spPr>
    <a:ln w="12700">
      <a:solidFill>
        <a:schemeClr val="bg1">
          <a:lumMod val="75000"/>
        </a:schemeClr>
      </a:solidFill>
    </a:ln>
  </cx:spPr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_xlchart.v2.15</cx:f>
      </cx:strDim>
      <cx:numDim type="val">
        <cx:f>_xlchart.v2.17</cx:f>
      </cx:numDim>
    </cx:data>
  </cx:chartData>
  <cx:chart>
    <cx:plotArea>
      <cx:plotAreaRegion>
        <cx:series layoutId="funnel" uniqueId="{F2DFA2E2-2A90-4818-BFE4-A85C7EF891E5}">
          <cx:tx>
            <cx:txData>
              <cx:f>_xlchart.v2.16</cx:f>
              <cx:v>DATA</cx:v>
            </cx:txData>
          </cx:tx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22" fmlaLink="Arquivos!$V$8" fmlaRange="Arquivos!$H$4:$H$113" noThreeD="1" sel="1" val="0"/>
</file>

<file path=xl/ctrlProps/ctrlProp2.xml><?xml version="1.0" encoding="utf-8"?>
<formControlPr xmlns="http://schemas.microsoft.com/office/spreadsheetml/2009/9/main" objectType="Drop" dropStyle="combo" dx="22" fmlaLink="Arquivos!$V$9" fmlaRange="Arquivos!$T$10:$T$12" noThreeD="1" sel="2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5.xml"/><Relationship Id="rId2" Type="http://schemas.microsoft.com/office/2014/relationships/chartEx" Target="../charts/chartEx4.xml"/><Relationship Id="rId1" Type="http://schemas.microsoft.com/office/2014/relationships/chartEx" Target="../charts/chartEx3.xml"/><Relationship Id="rId5" Type="http://schemas.openxmlformats.org/officeDocument/2006/relationships/image" Target="../media/image15.sv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1" Type="http://schemas.microsoft.com/office/2014/relationships/chartEx" Target="../charts/chartEx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236220</xdr:colOff>
      <xdr:row>0</xdr:row>
      <xdr:rowOff>167640</xdr:rowOff>
    </xdr:from>
    <xdr:to>
      <xdr:col>2</xdr:col>
      <xdr:colOff>464820</xdr:colOff>
      <xdr:row>5</xdr:row>
      <xdr:rowOff>72390</xdr:rowOff>
    </xdr:to>
    <xdr:pic>
      <xdr:nvPicPr>
        <xdr:cNvPr id="2" name="Gráfico 1" descr="Computador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5820" y="167640"/>
          <a:ext cx="914400" cy="914400"/>
        </a:xfrm>
        <a:prstGeom prst="rect">
          <a:avLst/>
        </a:prstGeom>
      </xdr:spPr>
    </xdr:pic>
    <xdr:clientData/>
  </xdr:twoCellAnchor>
  <xdr:oneCellAnchor>
    <xdr:from>
      <xdr:col>1</xdr:col>
      <xdr:colOff>236220</xdr:colOff>
      <xdr:row>9</xdr:row>
      <xdr:rowOff>167640</xdr:rowOff>
    </xdr:from>
    <xdr:ext cx="914400" cy="914400"/>
    <xdr:pic>
      <xdr:nvPicPr>
        <xdr:cNvPr id="3" name="Gráfico 2" descr="Computado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5820" y="167640"/>
          <a:ext cx="914400" cy="914400"/>
        </a:xfrm>
        <a:prstGeom prst="rect">
          <a:avLst/>
        </a:prstGeom>
      </xdr:spPr>
    </xdr:pic>
    <xdr:clientData/>
  </xdr:oneCellAnchor>
  <xdr:oneCellAnchor>
    <xdr:from>
      <xdr:col>1</xdr:col>
      <xdr:colOff>245745</xdr:colOff>
      <xdr:row>19</xdr:row>
      <xdr:rowOff>0</xdr:rowOff>
    </xdr:from>
    <xdr:ext cx="914400" cy="914400"/>
    <xdr:pic>
      <xdr:nvPicPr>
        <xdr:cNvPr id="4" name="Gráfico 3" descr="Computado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55345" y="3619500"/>
          <a:ext cx="914400" cy="914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838200</xdr:colOff>
      <xdr:row>2</xdr:row>
      <xdr:rowOff>53340</xdr:rowOff>
    </xdr:from>
    <xdr:to>
      <xdr:col>19</xdr:col>
      <xdr:colOff>342900</xdr:colOff>
      <xdr:row>4</xdr:row>
      <xdr:rowOff>175260</xdr:rowOff>
    </xdr:to>
    <xdr:pic>
      <xdr:nvPicPr>
        <xdr:cNvPr id="3" name="Gráfico 2" descr="Espiral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63200" y="419100"/>
          <a:ext cx="518160" cy="518160"/>
        </a:xfrm>
        <a:prstGeom prst="rect">
          <a:avLst/>
        </a:prstGeom>
      </xdr:spPr>
    </xdr:pic>
    <xdr:clientData/>
  </xdr:twoCellAnchor>
  <xdr:twoCellAnchor editAs="oneCell">
    <xdr:from>
      <xdr:col>12</xdr:col>
      <xdr:colOff>58560</xdr:colOff>
      <xdr:row>7</xdr:row>
      <xdr:rowOff>106680</xdr:rowOff>
    </xdr:from>
    <xdr:to>
      <xdr:col>12</xdr:col>
      <xdr:colOff>498120</xdr:colOff>
      <xdr:row>9</xdr:row>
      <xdr:rowOff>142380</xdr:rowOff>
    </xdr:to>
    <xdr:pic>
      <xdr:nvPicPr>
        <xdr:cNvPr id="7" name="Gráfico 6" descr="Olh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5620" y="1386840"/>
          <a:ext cx="439560" cy="439560"/>
        </a:xfrm>
        <a:prstGeom prst="rect">
          <a:avLst/>
        </a:prstGeom>
      </xdr:spPr>
    </xdr:pic>
    <xdr:clientData/>
  </xdr:twoCellAnchor>
  <xdr:twoCellAnchor editAs="oneCell">
    <xdr:from>
      <xdr:col>1</xdr:col>
      <xdr:colOff>53340</xdr:colOff>
      <xdr:row>2</xdr:row>
      <xdr:rowOff>38100</xdr:rowOff>
    </xdr:from>
    <xdr:to>
      <xdr:col>2</xdr:col>
      <xdr:colOff>677190</xdr:colOff>
      <xdr:row>6</xdr:row>
      <xdr:rowOff>86640</xdr:rowOff>
    </xdr:to>
    <xdr:pic>
      <xdr:nvPicPr>
        <xdr:cNvPr id="9" name="Gráfico 8" descr="Medidor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62940" y="403860"/>
          <a:ext cx="856260" cy="856260"/>
        </a:xfrm>
        <a:prstGeom prst="rect">
          <a:avLst/>
        </a:prstGeom>
      </xdr:spPr>
    </xdr:pic>
    <xdr:clientData/>
  </xdr:twoCellAnchor>
  <xdr:twoCellAnchor editAs="oneCell">
    <xdr:from>
      <xdr:col>14</xdr:col>
      <xdr:colOff>106680</xdr:colOff>
      <xdr:row>27</xdr:row>
      <xdr:rowOff>122340</xdr:rowOff>
    </xdr:from>
    <xdr:to>
      <xdr:col>15</xdr:col>
      <xdr:colOff>46140</xdr:colOff>
      <xdr:row>30</xdr:row>
      <xdr:rowOff>149430</xdr:rowOff>
    </xdr:to>
    <xdr:pic>
      <xdr:nvPicPr>
        <xdr:cNvPr id="11" name="Gráfico 10" descr="Banco de dados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193280" y="5060100"/>
          <a:ext cx="625260" cy="625260"/>
        </a:xfrm>
        <a:prstGeom prst="rect">
          <a:avLst/>
        </a:prstGeom>
      </xdr:spPr>
    </xdr:pic>
    <xdr:clientData/>
  </xdr:twoCellAnchor>
  <xdr:twoCellAnchor editAs="oneCell">
    <xdr:from>
      <xdr:col>12</xdr:col>
      <xdr:colOff>79860</xdr:colOff>
      <xdr:row>13</xdr:row>
      <xdr:rowOff>142800</xdr:rowOff>
    </xdr:from>
    <xdr:to>
      <xdr:col>12</xdr:col>
      <xdr:colOff>607620</xdr:colOff>
      <xdr:row>16</xdr:row>
      <xdr:rowOff>64770</xdr:rowOff>
    </xdr:to>
    <xdr:pic>
      <xdr:nvPicPr>
        <xdr:cNvPr id="13" name="Gráfico 12" descr="Tendência para cima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577940" y="2520240"/>
          <a:ext cx="527760" cy="527760"/>
        </a:xfrm>
        <a:prstGeom prst="rect">
          <a:avLst/>
        </a:prstGeom>
      </xdr:spPr>
    </xdr:pic>
    <xdr:clientData/>
  </xdr:twoCellAnchor>
  <xdr:twoCellAnchor editAs="oneCell">
    <xdr:from>
      <xdr:col>14</xdr:col>
      <xdr:colOff>182880</xdr:colOff>
      <xdr:row>8</xdr:row>
      <xdr:rowOff>7620</xdr:rowOff>
    </xdr:from>
    <xdr:to>
      <xdr:col>15</xdr:col>
      <xdr:colOff>411480</xdr:colOff>
      <xdr:row>12</xdr:row>
      <xdr:rowOff>121920</xdr:rowOff>
    </xdr:to>
    <xdr:pic>
      <xdr:nvPicPr>
        <xdr:cNvPr id="15" name="Gráfico 14" descr="Computador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269480" y="147066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182880</xdr:colOff>
      <xdr:row>20</xdr:row>
      <xdr:rowOff>76200</xdr:rowOff>
    </xdr:from>
    <xdr:to>
      <xdr:col>15</xdr:col>
      <xdr:colOff>411480</xdr:colOff>
      <xdr:row>24</xdr:row>
      <xdr:rowOff>190500</xdr:rowOff>
    </xdr:to>
    <xdr:pic>
      <xdr:nvPicPr>
        <xdr:cNvPr id="16" name="Gráfico 15" descr="Computador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269480" y="37338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182880</xdr:colOff>
      <xdr:row>11</xdr:row>
      <xdr:rowOff>15240</xdr:rowOff>
    </xdr:from>
    <xdr:to>
      <xdr:col>15</xdr:col>
      <xdr:colOff>411480</xdr:colOff>
      <xdr:row>15</xdr:row>
      <xdr:rowOff>129540</xdr:rowOff>
    </xdr:to>
    <xdr:pic>
      <xdr:nvPicPr>
        <xdr:cNvPr id="17" name="Gráfico 16" descr="Computador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269480" y="202692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182880</xdr:colOff>
      <xdr:row>14</xdr:row>
      <xdr:rowOff>30480</xdr:rowOff>
    </xdr:from>
    <xdr:to>
      <xdr:col>15</xdr:col>
      <xdr:colOff>411480</xdr:colOff>
      <xdr:row>18</xdr:row>
      <xdr:rowOff>144780</xdr:rowOff>
    </xdr:to>
    <xdr:pic>
      <xdr:nvPicPr>
        <xdr:cNvPr id="18" name="Gráfico 17" descr="Computador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269480" y="25908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14</xdr:col>
      <xdr:colOff>182880</xdr:colOff>
      <xdr:row>17</xdr:row>
      <xdr:rowOff>45720</xdr:rowOff>
    </xdr:from>
    <xdr:to>
      <xdr:col>15</xdr:col>
      <xdr:colOff>411480</xdr:colOff>
      <xdr:row>21</xdr:row>
      <xdr:rowOff>160020</xdr:rowOff>
    </xdr:to>
    <xdr:pic>
      <xdr:nvPicPr>
        <xdr:cNvPr id="19" name="Gráfico 18" descr="Computador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269480" y="315468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10</xdr:row>
      <xdr:rowOff>190499</xdr:rowOff>
    </xdr:from>
    <xdr:to>
      <xdr:col>10</xdr:col>
      <xdr:colOff>466725</xdr:colOff>
      <xdr:row>21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552450</xdr:colOff>
      <xdr:row>4</xdr:row>
      <xdr:rowOff>200026</xdr:rowOff>
    </xdr:from>
    <xdr:to>
      <xdr:col>13</xdr:col>
      <xdr:colOff>1590675</xdr:colOff>
      <xdr:row>108</xdr:row>
      <xdr:rowOff>9526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IP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6350" y="923926"/>
              <a:ext cx="1847850" cy="857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0</xdr:col>
      <xdr:colOff>657226</xdr:colOff>
      <xdr:row>1</xdr:row>
      <xdr:rowOff>200025</xdr:rowOff>
    </xdr:from>
    <xdr:to>
      <xdr:col>4</xdr:col>
      <xdr:colOff>638176</xdr:colOff>
      <xdr:row>52</xdr:row>
      <xdr:rowOff>95250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Gráfic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7226" y="504825"/>
              <a:ext cx="2724150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552450</xdr:colOff>
      <xdr:row>108</xdr:row>
      <xdr:rowOff>9525</xdr:rowOff>
    </xdr:from>
    <xdr:to>
      <xdr:col>13</xdr:col>
      <xdr:colOff>1571625</xdr:colOff>
      <xdr:row>121</xdr:row>
      <xdr:rowOff>79375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DATA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06350" y="1781175"/>
              <a:ext cx="1828800" cy="279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590550</xdr:colOff>
      <xdr:row>108</xdr:row>
      <xdr:rowOff>76201</xdr:rowOff>
    </xdr:from>
    <xdr:to>
      <xdr:col>5</xdr:col>
      <xdr:colOff>38100</xdr:colOff>
      <xdr:row>116</xdr:row>
      <xdr:rowOff>200025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IPO 3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350" y="2667001"/>
              <a:ext cx="2190750" cy="1800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952500</xdr:colOff>
      <xdr:row>110</xdr:row>
      <xdr:rowOff>9525</xdr:rowOff>
    </xdr:from>
    <xdr:to>
      <xdr:col>14</xdr:col>
      <xdr:colOff>28575</xdr:colOff>
      <xdr:row>122</xdr:row>
      <xdr:rowOff>19050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DATA 2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20750" y="30194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1</xdr:col>
      <xdr:colOff>57150</xdr:colOff>
      <xdr:row>25</xdr:row>
      <xdr:rowOff>9524</xdr:rowOff>
    </xdr:from>
    <xdr:to>
      <xdr:col>4</xdr:col>
      <xdr:colOff>285750</xdr:colOff>
      <xdr:row>38</xdr:row>
      <xdr:rowOff>61911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Gráfico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2950" y="914400"/>
              <a:ext cx="2286000" cy="209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168518</xdr:colOff>
      <xdr:row>12</xdr:row>
      <xdr:rowOff>153865</xdr:rowOff>
    </xdr:from>
    <xdr:to>
      <xdr:col>8</xdr:col>
      <xdr:colOff>8929</xdr:colOff>
      <xdr:row>24</xdr:row>
      <xdr:rowOff>888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30693" y="2525590"/>
              <a:ext cx="2154986" cy="22187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12</xdr:col>
      <xdr:colOff>183172</xdr:colOff>
      <xdr:row>12</xdr:row>
      <xdr:rowOff>161192</xdr:rowOff>
    </xdr:from>
    <xdr:to>
      <xdr:col>16</xdr:col>
      <xdr:colOff>0</xdr:colOff>
      <xdr:row>24</xdr:row>
      <xdr:rowOff>7327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41147" y="2532917"/>
              <a:ext cx="2150453" cy="22178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20</xdr:col>
      <xdr:colOff>161194</xdr:colOff>
      <xdr:row>12</xdr:row>
      <xdr:rowOff>166246</xdr:rowOff>
    </xdr:from>
    <xdr:to>
      <xdr:col>24</xdr:col>
      <xdr:colOff>29307</xdr:colOff>
      <xdr:row>17</xdr:row>
      <xdr:rowOff>51289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5" name="Gráfico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14969" y="2537971"/>
              <a:ext cx="2182688" cy="9042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oneCellAnchor>
    <xdr:from>
      <xdr:col>22</xdr:col>
      <xdr:colOff>622788</xdr:colOff>
      <xdr:row>0</xdr:row>
      <xdr:rowOff>212481</xdr:rowOff>
    </xdr:from>
    <xdr:ext cx="527539" cy="527539"/>
    <xdr:pic>
      <xdr:nvPicPr>
        <xdr:cNvPr id="6" name="Gráfico 5" descr="Computador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294576" y="212481"/>
          <a:ext cx="527539" cy="527539"/>
        </a:xfrm>
        <a:prstGeom prst="rect">
          <a:avLst/>
        </a:prstGeom>
      </xdr:spPr>
    </xdr:pic>
    <xdr:clientData/>
  </xdr:oneCellAnchor>
  <xdr:oneCellAnchor>
    <xdr:from>
      <xdr:col>14</xdr:col>
      <xdr:colOff>635975</xdr:colOff>
      <xdr:row>0</xdr:row>
      <xdr:rowOff>225670</xdr:rowOff>
    </xdr:from>
    <xdr:ext cx="527539" cy="527539"/>
    <xdr:pic>
      <xdr:nvPicPr>
        <xdr:cNvPr id="7" name="Gráfico 6" descr="Computador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992206" y="225670"/>
          <a:ext cx="527539" cy="527539"/>
        </a:xfrm>
        <a:prstGeom prst="rect">
          <a:avLst/>
        </a:prstGeom>
      </xdr:spPr>
    </xdr:pic>
    <xdr:clientData/>
  </xdr:oneCellAnchor>
  <xdr:twoCellAnchor>
    <xdr:from>
      <xdr:col>3</xdr:col>
      <xdr:colOff>64263</xdr:colOff>
      <xdr:row>0</xdr:row>
      <xdr:rowOff>9423</xdr:rowOff>
    </xdr:from>
    <xdr:to>
      <xdr:col>5</xdr:col>
      <xdr:colOff>455544</xdr:colOff>
      <xdr:row>0</xdr:row>
      <xdr:rowOff>256761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1563415" y="9423"/>
          <a:ext cx="1219542" cy="2473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Servidor: 0.11</a:t>
          </a:r>
        </a:p>
      </xdr:txBody>
    </xdr:sp>
    <xdr:clientData/>
  </xdr:twoCellAnchor>
  <xdr:oneCellAnchor>
    <xdr:from>
      <xdr:col>6</xdr:col>
      <xdr:colOff>630115</xdr:colOff>
      <xdr:row>0</xdr:row>
      <xdr:rowOff>212480</xdr:rowOff>
    </xdr:from>
    <xdr:ext cx="527539" cy="527539"/>
    <xdr:pic>
      <xdr:nvPicPr>
        <xdr:cNvPr id="12" name="Gráfico 11" descr="Computador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626827" y="212480"/>
          <a:ext cx="527539" cy="527539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676275</xdr:colOff>
      <xdr:row>0</xdr:row>
      <xdr:rowOff>9526</xdr:rowOff>
    </xdr:from>
    <xdr:to>
      <xdr:col>3</xdr:col>
      <xdr:colOff>466725</xdr:colOff>
      <xdr:row>3</xdr:row>
      <xdr:rowOff>161926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IPO 1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6275" y="9526"/>
              <a:ext cx="1847850" cy="857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0</xdr:colOff>
      <xdr:row>3</xdr:row>
      <xdr:rowOff>171450</xdr:rowOff>
    </xdr:from>
    <xdr:to>
      <xdr:col>3</xdr:col>
      <xdr:colOff>457200</xdr:colOff>
      <xdr:row>15</xdr:row>
      <xdr:rowOff>180975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DATA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5800" y="8763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1</xdr:col>
      <xdr:colOff>19049</xdr:colOff>
      <xdr:row>15</xdr:row>
      <xdr:rowOff>171449</xdr:rowOff>
    </xdr:from>
    <xdr:to>
      <xdr:col>3</xdr:col>
      <xdr:colOff>371474</xdr:colOff>
      <xdr:row>27</xdr:row>
      <xdr:rowOff>71436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49" y="3390899"/>
              <a:ext cx="1724025" cy="24145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0</xdr:row>
          <xdr:rowOff>76200</xdr:rowOff>
        </xdr:from>
        <xdr:to>
          <xdr:col>12</xdr:col>
          <xdr:colOff>333375</xdr:colOff>
          <xdr:row>1</xdr:row>
          <xdr:rowOff>161925</xdr:rowOff>
        </xdr:to>
        <xdr:sp macro="" textlink="">
          <xdr:nvSpPr>
            <xdr:cNvPr id="14337" name="Drop Dow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85725</xdr:colOff>
          <xdr:row>0</xdr:row>
          <xdr:rowOff>76200</xdr:rowOff>
        </xdr:from>
        <xdr:to>
          <xdr:col>7</xdr:col>
          <xdr:colOff>647700</xdr:colOff>
          <xdr:row>1</xdr:row>
          <xdr:rowOff>180975</xdr:rowOff>
        </xdr:to>
        <xdr:sp macro="" textlink="">
          <xdr:nvSpPr>
            <xdr:cNvPr id="14338" name="Drop Dow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8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15</xdr:col>
      <xdr:colOff>111512</xdr:colOff>
      <xdr:row>0</xdr:row>
      <xdr:rowOff>0</xdr:rowOff>
    </xdr:from>
    <xdr:ext cx="418171" cy="418171"/>
    <xdr:pic>
      <xdr:nvPicPr>
        <xdr:cNvPr id="5" name="Gráfico 4" descr="Computador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4939" y="0"/>
          <a:ext cx="418171" cy="418171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65690</xdr:colOff>
      <xdr:row>0</xdr:row>
      <xdr:rowOff>78828</xdr:rowOff>
    </xdr:from>
    <xdr:to>
      <xdr:col>19</xdr:col>
      <xdr:colOff>486104</xdr:colOff>
      <xdr:row>24</xdr:row>
      <xdr:rowOff>131379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690" y="78828"/>
          <a:ext cx="12027776" cy="4624551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190499</xdr:colOff>
      <xdr:row>0</xdr:row>
      <xdr:rowOff>151085</xdr:rowOff>
    </xdr:from>
    <xdr:to>
      <xdr:col>6</xdr:col>
      <xdr:colOff>453259</xdr:colOff>
      <xdr:row>2</xdr:row>
      <xdr:rowOff>131378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90499" y="151085"/>
          <a:ext cx="3928243" cy="361293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Arquivos</a:t>
          </a:r>
        </a:p>
      </xdr:txBody>
    </xdr:sp>
    <xdr:clientData/>
  </xdr:twoCellAnchor>
  <xdr:twoCellAnchor>
    <xdr:from>
      <xdr:col>0</xdr:col>
      <xdr:colOff>223344</xdr:colOff>
      <xdr:row>4</xdr:row>
      <xdr:rowOff>105102</xdr:rowOff>
    </xdr:from>
    <xdr:to>
      <xdr:col>2</xdr:col>
      <xdr:colOff>538653</xdr:colOff>
      <xdr:row>9</xdr:row>
      <xdr:rowOff>72257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23344" y="867102"/>
          <a:ext cx="1537137" cy="919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526830</xdr:colOff>
      <xdr:row>0</xdr:row>
      <xdr:rowOff>152398</xdr:rowOff>
    </xdr:from>
    <xdr:to>
      <xdr:col>13</xdr:col>
      <xdr:colOff>177363</xdr:colOff>
      <xdr:row>2</xdr:row>
      <xdr:rowOff>132691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4192313" y="152398"/>
          <a:ext cx="3926929" cy="361293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Protheus</a:t>
          </a:r>
        </a:p>
        <a:p>
          <a:pPr algn="ctr"/>
          <a:endParaRPr lang="pt-BR" sz="1100"/>
        </a:p>
      </xdr:txBody>
    </xdr:sp>
    <xdr:clientData/>
  </xdr:twoCellAnchor>
  <xdr:twoCellAnchor>
    <xdr:from>
      <xdr:col>13</xdr:col>
      <xdr:colOff>265385</xdr:colOff>
      <xdr:row>0</xdr:row>
      <xdr:rowOff>160281</xdr:rowOff>
    </xdr:from>
    <xdr:to>
      <xdr:col>19</xdr:col>
      <xdr:colOff>526831</xdr:colOff>
      <xdr:row>2</xdr:row>
      <xdr:rowOff>140574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207264" y="160281"/>
          <a:ext cx="3926929" cy="361293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Banco de dados</a:t>
          </a:r>
        </a:p>
      </xdr:txBody>
    </xdr:sp>
    <xdr:clientData/>
  </xdr:twoCellAnchor>
  <xdr:twoCellAnchor>
    <xdr:from>
      <xdr:col>0</xdr:col>
      <xdr:colOff>269328</xdr:colOff>
      <xdr:row>17</xdr:row>
      <xdr:rowOff>183932</xdr:rowOff>
    </xdr:from>
    <xdr:to>
      <xdr:col>2</xdr:col>
      <xdr:colOff>584637</xdr:colOff>
      <xdr:row>22</xdr:row>
      <xdr:rowOff>151087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269328" y="3422432"/>
          <a:ext cx="1537137" cy="919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236482</xdr:colOff>
      <xdr:row>11</xdr:row>
      <xdr:rowOff>39413</xdr:rowOff>
    </xdr:from>
    <xdr:to>
      <xdr:col>2</xdr:col>
      <xdr:colOff>551791</xdr:colOff>
      <xdr:row>16</xdr:row>
      <xdr:rowOff>6568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236482" y="2134913"/>
          <a:ext cx="1537137" cy="919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269328</xdr:colOff>
      <xdr:row>4</xdr:row>
      <xdr:rowOff>98534</xdr:rowOff>
    </xdr:from>
    <xdr:to>
      <xdr:col>5</xdr:col>
      <xdr:colOff>584637</xdr:colOff>
      <xdr:row>9</xdr:row>
      <xdr:rowOff>65689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2102069" y="860534"/>
          <a:ext cx="1537137" cy="919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223345</xdr:colOff>
      <xdr:row>9</xdr:row>
      <xdr:rowOff>137949</xdr:rowOff>
    </xdr:from>
    <xdr:to>
      <xdr:col>2</xdr:col>
      <xdr:colOff>564931</xdr:colOff>
      <xdr:row>10</xdr:row>
      <xdr:rowOff>172107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223345" y="1852449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Tempo de Backup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250936</xdr:colOff>
      <xdr:row>3</xdr:row>
      <xdr:rowOff>14452</xdr:rowOff>
    </xdr:from>
    <xdr:to>
      <xdr:col>5</xdr:col>
      <xdr:colOff>592522</xdr:colOff>
      <xdr:row>4</xdr:row>
      <xdr:rowOff>48610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/>
      </xdr:nvSpPr>
      <xdr:spPr>
        <a:xfrm>
          <a:off x="2083677" y="585952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Número de arquivos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212834</xdr:colOff>
      <xdr:row>3</xdr:row>
      <xdr:rowOff>28904</xdr:rowOff>
    </xdr:from>
    <xdr:to>
      <xdr:col>2</xdr:col>
      <xdr:colOff>554420</xdr:colOff>
      <xdr:row>4</xdr:row>
      <xdr:rowOff>63062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212834" y="600404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Backup feito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253563</xdr:colOff>
      <xdr:row>16</xdr:row>
      <xdr:rowOff>89340</xdr:rowOff>
    </xdr:from>
    <xdr:to>
      <xdr:col>2</xdr:col>
      <xdr:colOff>595149</xdr:colOff>
      <xdr:row>17</xdr:row>
      <xdr:rowOff>123498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>
          <a:off x="253563" y="3137340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Incrementais</a:t>
          </a:r>
        </a:p>
        <a:p>
          <a:pPr algn="l"/>
          <a:endParaRPr lang="pt-BR" sz="1100"/>
        </a:p>
      </xdr:txBody>
    </xdr:sp>
    <xdr:clientData/>
  </xdr:twoCellAnchor>
  <xdr:twoCellAnchor>
    <xdr:from>
      <xdr:col>6</xdr:col>
      <xdr:colOff>578068</xdr:colOff>
      <xdr:row>4</xdr:row>
      <xdr:rowOff>105102</xdr:rowOff>
    </xdr:from>
    <xdr:to>
      <xdr:col>9</xdr:col>
      <xdr:colOff>282464</xdr:colOff>
      <xdr:row>9</xdr:row>
      <xdr:rowOff>72257</xdr:rowOff>
    </xdr:to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SpPr/>
      </xdr:nvSpPr>
      <xdr:spPr>
        <a:xfrm>
          <a:off x="4243551" y="867102"/>
          <a:ext cx="1537137" cy="919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13138</xdr:colOff>
      <xdr:row>17</xdr:row>
      <xdr:rowOff>183932</xdr:rowOff>
    </xdr:from>
    <xdr:to>
      <xdr:col>9</xdr:col>
      <xdr:colOff>328448</xdr:colOff>
      <xdr:row>22</xdr:row>
      <xdr:rowOff>151087</xdr:rowOff>
    </xdr:to>
    <xdr:sp macro="" textlink="">
      <xdr:nvSpPr>
        <xdr:cNvPr id="77" name="Retângulo 76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SpPr/>
      </xdr:nvSpPr>
      <xdr:spPr>
        <a:xfrm>
          <a:off x="4289535" y="3422432"/>
          <a:ext cx="1537137" cy="919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591206</xdr:colOff>
      <xdr:row>11</xdr:row>
      <xdr:rowOff>39413</xdr:rowOff>
    </xdr:from>
    <xdr:to>
      <xdr:col>9</xdr:col>
      <xdr:colOff>295602</xdr:colOff>
      <xdr:row>16</xdr:row>
      <xdr:rowOff>6568</xdr:rowOff>
    </xdr:to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SpPr/>
      </xdr:nvSpPr>
      <xdr:spPr>
        <a:xfrm>
          <a:off x="4256689" y="2134913"/>
          <a:ext cx="1537137" cy="919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13138</xdr:colOff>
      <xdr:row>4</xdr:row>
      <xdr:rowOff>98534</xdr:rowOff>
    </xdr:from>
    <xdr:to>
      <xdr:col>12</xdr:col>
      <xdr:colOff>328447</xdr:colOff>
      <xdr:row>9</xdr:row>
      <xdr:rowOff>65689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SpPr/>
      </xdr:nvSpPr>
      <xdr:spPr>
        <a:xfrm>
          <a:off x="6122276" y="860534"/>
          <a:ext cx="1537137" cy="919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578069</xdr:colOff>
      <xdr:row>9</xdr:row>
      <xdr:rowOff>137949</xdr:rowOff>
    </xdr:from>
    <xdr:to>
      <xdr:col>9</xdr:col>
      <xdr:colOff>308742</xdr:colOff>
      <xdr:row>10</xdr:row>
      <xdr:rowOff>172107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SpPr/>
      </xdr:nvSpPr>
      <xdr:spPr>
        <a:xfrm>
          <a:off x="4243552" y="1852449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Tempo de Backup</a:t>
          </a:r>
        </a:p>
        <a:p>
          <a:pPr algn="l"/>
          <a:endParaRPr lang="pt-BR" sz="1100"/>
        </a:p>
      </xdr:txBody>
    </xdr:sp>
    <xdr:clientData/>
  </xdr:twoCellAnchor>
  <xdr:twoCellAnchor>
    <xdr:from>
      <xdr:col>9</xdr:col>
      <xdr:colOff>605660</xdr:colOff>
      <xdr:row>3</xdr:row>
      <xdr:rowOff>14452</xdr:rowOff>
    </xdr:from>
    <xdr:to>
      <xdr:col>12</xdr:col>
      <xdr:colOff>336332</xdr:colOff>
      <xdr:row>4</xdr:row>
      <xdr:rowOff>48610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SpPr/>
      </xdr:nvSpPr>
      <xdr:spPr>
        <a:xfrm>
          <a:off x="6103884" y="585952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Número de arquivos</a:t>
          </a:r>
        </a:p>
        <a:p>
          <a:pPr algn="l"/>
          <a:endParaRPr lang="pt-BR" sz="1100"/>
        </a:p>
      </xdr:txBody>
    </xdr:sp>
    <xdr:clientData/>
  </xdr:twoCellAnchor>
  <xdr:twoCellAnchor>
    <xdr:from>
      <xdr:col>6</xdr:col>
      <xdr:colOff>567558</xdr:colOff>
      <xdr:row>3</xdr:row>
      <xdr:rowOff>28904</xdr:rowOff>
    </xdr:from>
    <xdr:to>
      <xdr:col>9</xdr:col>
      <xdr:colOff>298231</xdr:colOff>
      <xdr:row>4</xdr:row>
      <xdr:rowOff>63062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SpPr/>
      </xdr:nvSpPr>
      <xdr:spPr>
        <a:xfrm>
          <a:off x="4233041" y="600404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Backup feito</a:t>
          </a:r>
        </a:p>
        <a:p>
          <a:pPr algn="l"/>
          <a:endParaRPr lang="pt-BR" sz="1100"/>
        </a:p>
      </xdr:txBody>
    </xdr:sp>
    <xdr:clientData/>
  </xdr:twoCellAnchor>
  <xdr:twoCellAnchor>
    <xdr:from>
      <xdr:col>6</xdr:col>
      <xdr:colOff>608287</xdr:colOff>
      <xdr:row>16</xdr:row>
      <xdr:rowOff>89340</xdr:rowOff>
    </xdr:from>
    <xdr:to>
      <xdr:col>9</xdr:col>
      <xdr:colOff>338960</xdr:colOff>
      <xdr:row>17</xdr:row>
      <xdr:rowOff>123498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SpPr/>
      </xdr:nvSpPr>
      <xdr:spPr>
        <a:xfrm>
          <a:off x="4273770" y="3137340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Incrementais</a:t>
          </a:r>
        </a:p>
        <a:p>
          <a:pPr algn="l"/>
          <a:endParaRPr lang="pt-BR" sz="1100"/>
        </a:p>
      </xdr:txBody>
    </xdr:sp>
    <xdr:clientData/>
  </xdr:twoCellAnchor>
  <xdr:twoCellAnchor>
    <xdr:from>
      <xdr:col>13</xdr:col>
      <xdr:colOff>380999</xdr:colOff>
      <xdr:row>4</xdr:row>
      <xdr:rowOff>91964</xdr:rowOff>
    </xdr:from>
    <xdr:to>
      <xdr:col>16</xdr:col>
      <xdr:colOff>85394</xdr:colOff>
      <xdr:row>9</xdr:row>
      <xdr:rowOff>59119</xdr:rowOff>
    </xdr:to>
    <xdr:sp macro="" textlink="">
      <xdr:nvSpPr>
        <xdr:cNvPr id="84" name="Retângulo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SpPr/>
      </xdr:nvSpPr>
      <xdr:spPr>
        <a:xfrm>
          <a:off x="8322878" y="853964"/>
          <a:ext cx="1537137" cy="919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426983</xdr:colOff>
      <xdr:row>17</xdr:row>
      <xdr:rowOff>170794</xdr:rowOff>
    </xdr:from>
    <xdr:to>
      <xdr:col>16</xdr:col>
      <xdr:colOff>131378</xdr:colOff>
      <xdr:row>22</xdr:row>
      <xdr:rowOff>137949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SpPr/>
      </xdr:nvSpPr>
      <xdr:spPr>
        <a:xfrm>
          <a:off x="8368862" y="3409294"/>
          <a:ext cx="1537137" cy="919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394137</xdr:colOff>
      <xdr:row>11</xdr:row>
      <xdr:rowOff>26275</xdr:rowOff>
    </xdr:from>
    <xdr:to>
      <xdr:col>16</xdr:col>
      <xdr:colOff>98532</xdr:colOff>
      <xdr:row>15</xdr:row>
      <xdr:rowOff>183930</xdr:rowOff>
    </xdr:to>
    <xdr:sp macro="" textlink="">
      <xdr:nvSpPr>
        <xdr:cNvPr id="86" name="Retângulo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SpPr/>
      </xdr:nvSpPr>
      <xdr:spPr>
        <a:xfrm>
          <a:off x="8336016" y="2121775"/>
          <a:ext cx="1537137" cy="919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426982</xdr:colOff>
      <xdr:row>4</xdr:row>
      <xdr:rowOff>85396</xdr:rowOff>
    </xdr:from>
    <xdr:to>
      <xdr:col>19</xdr:col>
      <xdr:colOff>131378</xdr:colOff>
      <xdr:row>9</xdr:row>
      <xdr:rowOff>52551</xdr:rowOff>
    </xdr:to>
    <xdr:sp macro="" textlink="">
      <xdr:nvSpPr>
        <xdr:cNvPr id="87" name="Retângulo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SpPr/>
      </xdr:nvSpPr>
      <xdr:spPr>
        <a:xfrm>
          <a:off x="10201603" y="847396"/>
          <a:ext cx="1537137" cy="91965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381000</xdr:colOff>
      <xdr:row>9</xdr:row>
      <xdr:rowOff>124811</xdr:rowOff>
    </xdr:from>
    <xdr:to>
      <xdr:col>16</xdr:col>
      <xdr:colOff>111672</xdr:colOff>
      <xdr:row>10</xdr:row>
      <xdr:rowOff>158969</xdr:rowOff>
    </xdr:to>
    <xdr:sp macro="" textlink="">
      <xdr:nvSpPr>
        <xdr:cNvPr id="88" name="Retângulo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SpPr/>
      </xdr:nvSpPr>
      <xdr:spPr>
        <a:xfrm>
          <a:off x="8322879" y="1839311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Tempo de Backup</a:t>
          </a:r>
        </a:p>
        <a:p>
          <a:pPr algn="l"/>
          <a:endParaRPr lang="pt-BR" sz="1100"/>
        </a:p>
      </xdr:txBody>
    </xdr:sp>
    <xdr:clientData/>
  </xdr:twoCellAnchor>
  <xdr:twoCellAnchor>
    <xdr:from>
      <xdr:col>16</xdr:col>
      <xdr:colOff>408590</xdr:colOff>
      <xdr:row>3</xdr:row>
      <xdr:rowOff>1314</xdr:rowOff>
    </xdr:from>
    <xdr:to>
      <xdr:col>19</xdr:col>
      <xdr:colOff>139263</xdr:colOff>
      <xdr:row>4</xdr:row>
      <xdr:rowOff>35472</xdr:rowOff>
    </xdr:to>
    <xdr:sp macro="" textlink="">
      <xdr:nvSpPr>
        <xdr:cNvPr id="89" name="Retângulo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SpPr/>
      </xdr:nvSpPr>
      <xdr:spPr>
        <a:xfrm>
          <a:off x="10183211" y="572814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Número de arquivos</a:t>
          </a:r>
        </a:p>
        <a:p>
          <a:pPr algn="l"/>
          <a:endParaRPr lang="pt-BR" sz="1100"/>
        </a:p>
      </xdr:txBody>
    </xdr:sp>
    <xdr:clientData/>
  </xdr:twoCellAnchor>
  <xdr:twoCellAnchor>
    <xdr:from>
      <xdr:col>13</xdr:col>
      <xdr:colOff>370489</xdr:colOff>
      <xdr:row>3</xdr:row>
      <xdr:rowOff>15766</xdr:rowOff>
    </xdr:from>
    <xdr:to>
      <xdr:col>16</xdr:col>
      <xdr:colOff>101161</xdr:colOff>
      <xdr:row>4</xdr:row>
      <xdr:rowOff>49924</xdr:rowOff>
    </xdr:to>
    <xdr:sp macro="" textlink="">
      <xdr:nvSpPr>
        <xdr:cNvPr id="90" name="Retângulo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SpPr/>
      </xdr:nvSpPr>
      <xdr:spPr>
        <a:xfrm>
          <a:off x="8312368" y="587266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Backup feito</a:t>
          </a:r>
        </a:p>
        <a:p>
          <a:pPr algn="l"/>
          <a:endParaRPr lang="pt-BR" sz="1100"/>
        </a:p>
      </xdr:txBody>
    </xdr:sp>
    <xdr:clientData/>
  </xdr:twoCellAnchor>
  <xdr:twoCellAnchor>
    <xdr:from>
      <xdr:col>13</xdr:col>
      <xdr:colOff>411218</xdr:colOff>
      <xdr:row>16</xdr:row>
      <xdr:rowOff>76202</xdr:rowOff>
    </xdr:from>
    <xdr:to>
      <xdr:col>16</xdr:col>
      <xdr:colOff>141890</xdr:colOff>
      <xdr:row>17</xdr:row>
      <xdr:rowOff>110360</xdr:rowOff>
    </xdr:to>
    <xdr:sp macro="" textlink="">
      <xdr:nvSpPr>
        <xdr:cNvPr id="91" name="Retângulo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SpPr/>
      </xdr:nvSpPr>
      <xdr:spPr>
        <a:xfrm>
          <a:off x="8353097" y="3124202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Incrementais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258819</xdr:colOff>
      <xdr:row>9</xdr:row>
      <xdr:rowOff>153714</xdr:rowOff>
    </xdr:from>
    <xdr:to>
      <xdr:col>5</xdr:col>
      <xdr:colOff>600405</xdr:colOff>
      <xdr:row>10</xdr:row>
      <xdr:rowOff>187872</xdr:rowOff>
    </xdr:to>
    <xdr:sp macro="" textlink="">
      <xdr:nvSpPr>
        <xdr:cNvPr id="93" name="Retângulo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SpPr/>
      </xdr:nvSpPr>
      <xdr:spPr>
        <a:xfrm>
          <a:off x="2091560" y="1868214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Dias</a:t>
          </a:r>
          <a:r>
            <a:rPr lang="pt-BR" sz="1100" baseline="0"/>
            <a:t> de backup </a:t>
          </a:r>
        </a:p>
        <a:p>
          <a:pPr algn="l"/>
          <a:endParaRPr lang="pt-BR" sz="1100"/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264073</xdr:colOff>
      <xdr:row>11</xdr:row>
      <xdr:rowOff>47296</xdr:rowOff>
    </xdr:from>
    <xdr:to>
      <xdr:col>5</xdr:col>
      <xdr:colOff>579382</xdr:colOff>
      <xdr:row>22</xdr:row>
      <xdr:rowOff>177362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SpPr/>
      </xdr:nvSpPr>
      <xdr:spPr>
        <a:xfrm>
          <a:off x="2096814" y="2142796"/>
          <a:ext cx="1537137" cy="222556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30218</xdr:colOff>
      <xdr:row>9</xdr:row>
      <xdr:rowOff>122183</xdr:rowOff>
    </xdr:from>
    <xdr:to>
      <xdr:col>12</xdr:col>
      <xdr:colOff>371804</xdr:colOff>
      <xdr:row>10</xdr:row>
      <xdr:rowOff>156341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SpPr/>
      </xdr:nvSpPr>
      <xdr:spPr>
        <a:xfrm>
          <a:off x="6139356" y="1836683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Dias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backup </a:t>
          </a:r>
          <a:endParaRPr lang="pt-BR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10</xdr:col>
      <xdr:colOff>35472</xdr:colOff>
      <xdr:row>11</xdr:row>
      <xdr:rowOff>15765</xdr:rowOff>
    </xdr:from>
    <xdr:to>
      <xdr:col>12</xdr:col>
      <xdr:colOff>350781</xdr:colOff>
      <xdr:row>22</xdr:row>
      <xdr:rowOff>145831</xdr:rowOff>
    </xdr:to>
    <xdr:sp macro="" textlink="">
      <xdr:nvSpPr>
        <xdr:cNvPr id="96" name="Retângulo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SpPr/>
      </xdr:nvSpPr>
      <xdr:spPr>
        <a:xfrm>
          <a:off x="6144610" y="2111265"/>
          <a:ext cx="1537137" cy="222556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445377</xdr:colOff>
      <xdr:row>9</xdr:row>
      <xdr:rowOff>176049</xdr:rowOff>
    </xdr:from>
    <xdr:to>
      <xdr:col>19</xdr:col>
      <xdr:colOff>176050</xdr:colOff>
      <xdr:row>11</xdr:row>
      <xdr:rowOff>19707</xdr:rowOff>
    </xdr:to>
    <xdr:sp macro="" textlink="">
      <xdr:nvSpPr>
        <xdr:cNvPr id="97" name="Retângulo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SpPr/>
      </xdr:nvSpPr>
      <xdr:spPr>
        <a:xfrm>
          <a:off x="10219998" y="1890549"/>
          <a:ext cx="1563414" cy="22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Dias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 backup </a:t>
          </a:r>
          <a:endParaRPr lang="pt-BR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16</xdr:col>
      <xdr:colOff>450631</xdr:colOff>
      <xdr:row>11</xdr:row>
      <xdr:rowOff>69631</xdr:rowOff>
    </xdr:from>
    <xdr:to>
      <xdr:col>19</xdr:col>
      <xdr:colOff>155027</xdr:colOff>
      <xdr:row>23</xdr:row>
      <xdr:rowOff>9197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SpPr/>
      </xdr:nvSpPr>
      <xdr:spPr>
        <a:xfrm>
          <a:off x="10225252" y="2165131"/>
          <a:ext cx="1537137" cy="222556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529add62178b513f/ETM/AnaliseBKP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PHER MARIM" refreshedDate="43564.99873078704" createdVersion="6" refreshedVersion="6" minRefreshableVersion="3" recordCount="801" xr:uid="{B39A5D1C-C809-4EF6-B4E4-4F4E19C485F8}">
  <cacheSource type="worksheet">
    <worksheetSource ref="C4:H805" sheet="SCHST01" r:id="rId2"/>
  </cacheSource>
  <cacheFields count="7">
    <cacheField name="Data" numFmtId="14">
      <sharedItems containsSemiMixedTypes="0" containsNonDate="0" containsDate="1" containsString="0" minDate="2019-04-09T00:00:00" maxDate="2020-01-01T00:00:00" count="267"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</sharedItems>
      <fieldGroup par="6" base="0">
        <rangePr groupBy="days" startDate="2019-04-09T00:00:00" endDate="2020-01-01T00:00:00"/>
        <groupItems count="368">
          <s v="&lt;09/04/2019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1/01/2020"/>
        </groupItems>
      </fieldGroup>
    </cacheField>
    <cacheField name="Armazenamento total Antes " numFmtId="0">
      <sharedItems containsString="0" containsBlank="1" containsNumber="1" containsInteger="1" minValue="500" maxValue="2000"/>
    </cacheField>
    <cacheField name="Backup" numFmtId="0">
      <sharedItems containsString="0" containsBlank="1" containsNumber="1" containsInteger="1" minValue="25" maxValue="50"/>
    </cacheField>
    <cacheField name="Armazenamento total disponivel" numFmtId="0">
      <sharedItems containsMixedTypes="1" containsNumber="1" containsInteger="1" minValue="460" maxValue="1950"/>
    </cacheField>
    <cacheField name="Tempo" numFmtId="0">
      <sharedItems containsString="0" containsBlank="1" containsNumber="1" containsInteger="1" minValue="30" maxValue="30"/>
    </cacheField>
    <cacheField name="Tipo" numFmtId="0">
      <sharedItems count="3">
        <s v="Arquivos"/>
        <s v="Protheus"/>
        <s v="Banco de dados"/>
      </sharedItems>
    </cacheField>
    <cacheField name="Meses" numFmtId="0" databaseField="0">
      <fieldGroup base="0">
        <rangePr groupBy="months" startDate="2019-04-09T00:00:00" endDate="2020-01-01T00:00:00"/>
        <groupItems count="14">
          <s v="&lt;09/04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PHER MARIM" refreshedDate="43711.90995115741" createdVersion="6" refreshedVersion="6" minRefreshableVersion="3" recordCount="25" xr:uid="{00000000-000A-0000-FFFF-FFFF0B000000}">
  <cacheSource type="worksheet">
    <worksheetSource name="Tabela2"/>
  </cacheSource>
  <cacheFields count="4">
    <cacheField name="TAREFA" numFmtId="0">
      <sharedItems count="7">
        <s v="ADMINISTRACAO"/>
        <s v="ALMOXARIFADO"/>
        <s v="COMPRAS"/>
        <s v="RH"/>
        <s v="LOGÍSTICA"/>
        <s v="MANAGER"/>
        <s v="Google"/>
      </sharedItems>
    </cacheField>
    <cacheField name="TIPO" numFmtId="0">
      <sharedItems count="3">
        <s v="COMPLETA"/>
        <s v="INCREMENTAL"/>
        <s v="GOOGLE DRIVE"/>
      </sharedItems>
    </cacheField>
    <cacheField name="DATA" numFmtId="14">
      <sharedItems containsSemiMixedTypes="0" containsNonDate="0" containsDate="1" containsString="0" minDate="2017-05-02T00:00:00" maxDate="2017-05-09T00:00:00" count="5">
        <d v="2017-05-03T00:00:00"/>
        <d v="2017-05-04T00:00:00"/>
        <d v="2017-05-05T00:00:00"/>
        <d v="2017-05-08T00:00:00"/>
        <d v="2017-05-02T00:00:00"/>
      </sharedItems>
    </cacheField>
    <cacheField name="GB" numFmtId="165">
      <sharedItems containsSemiMixedTypes="0" containsString="0" containsNumber="1" minValue="0" maxValue="6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PHER MARIM" refreshedDate="43711.909951388887" createdVersion="6" refreshedVersion="6" minRefreshableVersion="3" recordCount="99" xr:uid="{BAD76F00-6E58-44E9-A2A6-F4AA589D5D64}">
  <cacheSource type="worksheet">
    <worksheetSource name="Tabela16[[TIPO]:[DATA]]"/>
  </cacheSource>
  <cacheFields count="2">
    <cacheField name="TIPO" numFmtId="0">
      <sharedItems count="2">
        <s v="Completa"/>
        <s v="Incompleta"/>
      </sharedItems>
    </cacheField>
    <cacheField name="DATA" numFmtId="0">
      <sharedItems containsDate="1" containsMixedTypes="1" minDate="2019-04-30T00:00:00" maxDate="2019-09-04T00:00:00" count="99">
        <d v="2019-04-30T00:00:00"/>
        <d v="2019-05-01T00:00:00"/>
        <d v="2019-05-02T00:00:00"/>
        <d v="2019-05-03T00:00:00"/>
        <d v="2019-05-04T00:00:00"/>
        <d v="2019-05-05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s v=" 30/08/2019"/>
        <d v="2019-08-31T00:00:00"/>
        <d v="2019-09-01T00:00:00"/>
        <d v="2019-09-02T00:00:00"/>
        <d v="2019-09-03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1">
  <r>
    <x v="0"/>
    <m/>
    <m/>
    <s v=" "/>
    <n v="30"/>
    <x v="0"/>
  </r>
  <r>
    <x v="1"/>
    <m/>
    <m/>
    <s v=" "/>
    <m/>
    <x v="0"/>
  </r>
  <r>
    <x v="2"/>
    <n v="863"/>
    <n v="25"/>
    <n v="838"/>
    <n v="30"/>
    <x v="0"/>
  </r>
  <r>
    <x v="3"/>
    <m/>
    <m/>
    <s v=" "/>
    <m/>
    <x v="0"/>
  </r>
  <r>
    <x v="4"/>
    <m/>
    <m/>
    <s v=" "/>
    <m/>
    <x v="0"/>
  </r>
  <r>
    <x v="5"/>
    <m/>
    <m/>
    <s v=" "/>
    <m/>
    <x v="0"/>
  </r>
  <r>
    <x v="6"/>
    <m/>
    <m/>
    <s v=" "/>
    <m/>
    <x v="0"/>
  </r>
  <r>
    <x v="7"/>
    <m/>
    <m/>
    <s v=" "/>
    <m/>
    <x v="0"/>
  </r>
  <r>
    <x v="8"/>
    <m/>
    <m/>
    <s v=" "/>
    <m/>
    <x v="0"/>
  </r>
  <r>
    <x v="9"/>
    <m/>
    <m/>
    <s v=" "/>
    <m/>
    <x v="0"/>
  </r>
  <r>
    <x v="10"/>
    <m/>
    <m/>
    <s v=" "/>
    <m/>
    <x v="0"/>
  </r>
  <r>
    <x v="11"/>
    <m/>
    <m/>
    <s v=" "/>
    <m/>
    <x v="0"/>
  </r>
  <r>
    <x v="12"/>
    <m/>
    <m/>
    <s v=" "/>
    <m/>
    <x v="0"/>
  </r>
  <r>
    <x v="13"/>
    <m/>
    <m/>
    <s v=" "/>
    <m/>
    <x v="0"/>
  </r>
  <r>
    <x v="14"/>
    <m/>
    <m/>
    <s v=" "/>
    <m/>
    <x v="0"/>
  </r>
  <r>
    <x v="15"/>
    <m/>
    <m/>
    <s v=" "/>
    <m/>
    <x v="0"/>
  </r>
  <r>
    <x v="16"/>
    <m/>
    <m/>
    <s v=" "/>
    <m/>
    <x v="0"/>
  </r>
  <r>
    <x v="17"/>
    <m/>
    <m/>
    <s v=" "/>
    <m/>
    <x v="0"/>
  </r>
  <r>
    <x v="18"/>
    <m/>
    <m/>
    <s v=" "/>
    <m/>
    <x v="0"/>
  </r>
  <r>
    <x v="19"/>
    <m/>
    <m/>
    <s v=" "/>
    <m/>
    <x v="0"/>
  </r>
  <r>
    <x v="20"/>
    <m/>
    <m/>
    <s v=" "/>
    <m/>
    <x v="0"/>
  </r>
  <r>
    <x v="21"/>
    <m/>
    <m/>
    <s v=" "/>
    <m/>
    <x v="0"/>
  </r>
  <r>
    <x v="22"/>
    <m/>
    <m/>
    <s v=" "/>
    <m/>
    <x v="0"/>
  </r>
  <r>
    <x v="23"/>
    <m/>
    <m/>
    <s v=" "/>
    <m/>
    <x v="0"/>
  </r>
  <r>
    <x v="24"/>
    <m/>
    <m/>
    <s v=" "/>
    <m/>
    <x v="0"/>
  </r>
  <r>
    <x v="25"/>
    <m/>
    <m/>
    <s v=" "/>
    <m/>
    <x v="0"/>
  </r>
  <r>
    <x v="26"/>
    <m/>
    <m/>
    <s v=" "/>
    <m/>
    <x v="0"/>
  </r>
  <r>
    <x v="27"/>
    <m/>
    <m/>
    <s v=" "/>
    <m/>
    <x v="0"/>
  </r>
  <r>
    <x v="28"/>
    <m/>
    <m/>
    <s v=" "/>
    <m/>
    <x v="0"/>
  </r>
  <r>
    <x v="29"/>
    <m/>
    <m/>
    <s v=" "/>
    <m/>
    <x v="0"/>
  </r>
  <r>
    <x v="30"/>
    <m/>
    <m/>
    <s v=" "/>
    <m/>
    <x v="0"/>
  </r>
  <r>
    <x v="31"/>
    <m/>
    <m/>
    <s v=" "/>
    <m/>
    <x v="0"/>
  </r>
  <r>
    <x v="32"/>
    <m/>
    <m/>
    <s v=" "/>
    <m/>
    <x v="0"/>
  </r>
  <r>
    <x v="33"/>
    <m/>
    <m/>
    <s v=" "/>
    <m/>
    <x v="0"/>
  </r>
  <r>
    <x v="34"/>
    <m/>
    <m/>
    <s v=" "/>
    <m/>
    <x v="0"/>
  </r>
  <r>
    <x v="35"/>
    <m/>
    <m/>
    <s v=" "/>
    <m/>
    <x v="0"/>
  </r>
  <r>
    <x v="36"/>
    <m/>
    <m/>
    <s v=" "/>
    <m/>
    <x v="0"/>
  </r>
  <r>
    <x v="37"/>
    <m/>
    <m/>
    <s v=" "/>
    <m/>
    <x v="0"/>
  </r>
  <r>
    <x v="38"/>
    <m/>
    <m/>
    <s v=" "/>
    <m/>
    <x v="0"/>
  </r>
  <r>
    <x v="39"/>
    <m/>
    <m/>
    <s v=" "/>
    <m/>
    <x v="0"/>
  </r>
  <r>
    <x v="40"/>
    <m/>
    <m/>
    <s v=" "/>
    <m/>
    <x v="0"/>
  </r>
  <r>
    <x v="41"/>
    <m/>
    <m/>
    <s v=" "/>
    <m/>
    <x v="0"/>
  </r>
  <r>
    <x v="42"/>
    <m/>
    <m/>
    <s v=" "/>
    <m/>
    <x v="0"/>
  </r>
  <r>
    <x v="43"/>
    <m/>
    <m/>
    <s v=" "/>
    <m/>
    <x v="0"/>
  </r>
  <r>
    <x v="44"/>
    <m/>
    <m/>
    <s v=" "/>
    <m/>
    <x v="0"/>
  </r>
  <r>
    <x v="45"/>
    <m/>
    <m/>
    <s v=" "/>
    <m/>
    <x v="0"/>
  </r>
  <r>
    <x v="46"/>
    <m/>
    <m/>
    <s v=" "/>
    <m/>
    <x v="0"/>
  </r>
  <r>
    <x v="47"/>
    <m/>
    <m/>
    <s v=" "/>
    <m/>
    <x v="0"/>
  </r>
  <r>
    <x v="48"/>
    <m/>
    <m/>
    <s v=" "/>
    <m/>
    <x v="0"/>
  </r>
  <r>
    <x v="49"/>
    <m/>
    <m/>
    <s v=" "/>
    <m/>
    <x v="0"/>
  </r>
  <r>
    <x v="50"/>
    <m/>
    <m/>
    <s v=" "/>
    <m/>
    <x v="0"/>
  </r>
  <r>
    <x v="51"/>
    <m/>
    <m/>
    <s v=" "/>
    <m/>
    <x v="0"/>
  </r>
  <r>
    <x v="52"/>
    <m/>
    <m/>
    <s v=" "/>
    <m/>
    <x v="0"/>
  </r>
  <r>
    <x v="53"/>
    <m/>
    <m/>
    <s v=" "/>
    <m/>
    <x v="0"/>
  </r>
  <r>
    <x v="54"/>
    <m/>
    <m/>
    <s v=" "/>
    <m/>
    <x v="0"/>
  </r>
  <r>
    <x v="55"/>
    <m/>
    <m/>
    <s v=" "/>
    <m/>
    <x v="0"/>
  </r>
  <r>
    <x v="56"/>
    <m/>
    <m/>
    <s v=" "/>
    <m/>
    <x v="0"/>
  </r>
  <r>
    <x v="57"/>
    <m/>
    <m/>
    <s v=" "/>
    <m/>
    <x v="0"/>
  </r>
  <r>
    <x v="58"/>
    <m/>
    <m/>
    <s v=" "/>
    <m/>
    <x v="0"/>
  </r>
  <r>
    <x v="59"/>
    <m/>
    <m/>
    <s v=" "/>
    <m/>
    <x v="0"/>
  </r>
  <r>
    <x v="60"/>
    <m/>
    <m/>
    <s v=" "/>
    <m/>
    <x v="0"/>
  </r>
  <r>
    <x v="61"/>
    <m/>
    <m/>
    <s v=" "/>
    <m/>
    <x v="0"/>
  </r>
  <r>
    <x v="62"/>
    <m/>
    <m/>
    <s v=" "/>
    <m/>
    <x v="0"/>
  </r>
  <r>
    <x v="63"/>
    <m/>
    <m/>
    <s v=" "/>
    <m/>
    <x v="0"/>
  </r>
  <r>
    <x v="64"/>
    <m/>
    <m/>
    <s v=" "/>
    <m/>
    <x v="0"/>
  </r>
  <r>
    <x v="65"/>
    <m/>
    <m/>
    <s v=" "/>
    <m/>
    <x v="0"/>
  </r>
  <r>
    <x v="66"/>
    <m/>
    <m/>
    <s v=" "/>
    <m/>
    <x v="0"/>
  </r>
  <r>
    <x v="67"/>
    <m/>
    <m/>
    <s v=" "/>
    <m/>
    <x v="0"/>
  </r>
  <r>
    <x v="68"/>
    <m/>
    <m/>
    <s v=" "/>
    <m/>
    <x v="0"/>
  </r>
  <r>
    <x v="69"/>
    <m/>
    <m/>
    <s v=" "/>
    <m/>
    <x v="0"/>
  </r>
  <r>
    <x v="70"/>
    <m/>
    <m/>
    <s v=" "/>
    <m/>
    <x v="0"/>
  </r>
  <r>
    <x v="71"/>
    <m/>
    <m/>
    <s v=" "/>
    <m/>
    <x v="0"/>
  </r>
  <r>
    <x v="72"/>
    <m/>
    <m/>
    <s v=" "/>
    <m/>
    <x v="0"/>
  </r>
  <r>
    <x v="73"/>
    <m/>
    <m/>
    <s v=" "/>
    <m/>
    <x v="0"/>
  </r>
  <r>
    <x v="74"/>
    <m/>
    <m/>
    <s v=" "/>
    <m/>
    <x v="0"/>
  </r>
  <r>
    <x v="75"/>
    <m/>
    <m/>
    <s v=" "/>
    <m/>
    <x v="0"/>
  </r>
  <r>
    <x v="76"/>
    <m/>
    <m/>
    <s v=" "/>
    <m/>
    <x v="0"/>
  </r>
  <r>
    <x v="77"/>
    <m/>
    <m/>
    <s v=" "/>
    <m/>
    <x v="0"/>
  </r>
  <r>
    <x v="78"/>
    <m/>
    <m/>
    <s v=" "/>
    <m/>
    <x v="0"/>
  </r>
  <r>
    <x v="79"/>
    <m/>
    <m/>
    <s v=" "/>
    <m/>
    <x v="0"/>
  </r>
  <r>
    <x v="80"/>
    <m/>
    <m/>
    <s v=" "/>
    <m/>
    <x v="0"/>
  </r>
  <r>
    <x v="81"/>
    <m/>
    <m/>
    <s v=" "/>
    <m/>
    <x v="0"/>
  </r>
  <r>
    <x v="82"/>
    <m/>
    <m/>
    <s v=" "/>
    <m/>
    <x v="0"/>
  </r>
  <r>
    <x v="83"/>
    <m/>
    <m/>
    <s v=" "/>
    <m/>
    <x v="0"/>
  </r>
  <r>
    <x v="84"/>
    <m/>
    <m/>
    <s v=" "/>
    <m/>
    <x v="0"/>
  </r>
  <r>
    <x v="85"/>
    <m/>
    <m/>
    <s v=" "/>
    <m/>
    <x v="0"/>
  </r>
  <r>
    <x v="86"/>
    <m/>
    <m/>
    <s v=" "/>
    <m/>
    <x v="0"/>
  </r>
  <r>
    <x v="87"/>
    <m/>
    <m/>
    <s v=" "/>
    <m/>
    <x v="0"/>
  </r>
  <r>
    <x v="88"/>
    <m/>
    <m/>
    <s v=" "/>
    <m/>
    <x v="0"/>
  </r>
  <r>
    <x v="89"/>
    <m/>
    <m/>
    <s v=" "/>
    <m/>
    <x v="0"/>
  </r>
  <r>
    <x v="90"/>
    <m/>
    <m/>
    <s v=" "/>
    <m/>
    <x v="0"/>
  </r>
  <r>
    <x v="91"/>
    <m/>
    <m/>
    <s v=" "/>
    <m/>
    <x v="0"/>
  </r>
  <r>
    <x v="92"/>
    <m/>
    <m/>
    <s v=" "/>
    <m/>
    <x v="0"/>
  </r>
  <r>
    <x v="93"/>
    <m/>
    <m/>
    <s v=" "/>
    <m/>
    <x v="0"/>
  </r>
  <r>
    <x v="94"/>
    <m/>
    <m/>
    <s v=" "/>
    <m/>
    <x v="0"/>
  </r>
  <r>
    <x v="95"/>
    <m/>
    <m/>
    <s v=" "/>
    <m/>
    <x v="0"/>
  </r>
  <r>
    <x v="96"/>
    <m/>
    <m/>
    <s v=" "/>
    <m/>
    <x v="0"/>
  </r>
  <r>
    <x v="97"/>
    <m/>
    <m/>
    <s v=" "/>
    <m/>
    <x v="0"/>
  </r>
  <r>
    <x v="98"/>
    <m/>
    <m/>
    <s v=" "/>
    <m/>
    <x v="0"/>
  </r>
  <r>
    <x v="99"/>
    <m/>
    <m/>
    <s v=" "/>
    <m/>
    <x v="0"/>
  </r>
  <r>
    <x v="100"/>
    <m/>
    <m/>
    <s v=" "/>
    <m/>
    <x v="0"/>
  </r>
  <r>
    <x v="101"/>
    <m/>
    <m/>
    <s v=" "/>
    <m/>
    <x v="0"/>
  </r>
  <r>
    <x v="102"/>
    <m/>
    <m/>
    <s v=" "/>
    <m/>
    <x v="0"/>
  </r>
  <r>
    <x v="103"/>
    <m/>
    <m/>
    <s v=" "/>
    <m/>
    <x v="0"/>
  </r>
  <r>
    <x v="104"/>
    <m/>
    <m/>
    <s v=" "/>
    <m/>
    <x v="0"/>
  </r>
  <r>
    <x v="105"/>
    <m/>
    <m/>
    <s v=" "/>
    <m/>
    <x v="0"/>
  </r>
  <r>
    <x v="106"/>
    <m/>
    <m/>
    <s v=" "/>
    <m/>
    <x v="0"/>
  </r>
  <r>
    <x v="107"/>
    <m/>
    <m/>
    <s v=" "/>
    <m/>
    <x v="0"/>
  </r>
  <r>
    <x v="108"/>
    <m/>
    <m/>
    <s v=" "/>
    <m/>
    <x v="0"/>
  </r>
  <r>
    <x v="109"/>
    <m/>
    <m/>
    <s v=" "/>
    <m/>
    <x v="0"/>
  </r>
  <r>
    <x v="110"/>
    <m/>
    <m/>
    <s v=" "/>
    <m/>
    <x v="0"/>
  </r>
  <r>
    <x v="111"/>
    <m/>
    <m/>
    <s v=" "/>
    <m/>
    <x v="0"/>
  </r>
  <r>
    <x v="112"/>
    <m/>
    <m/>
    <s v=" "/>
    <m/>
    <x v="0"/>
  </r>
  <r>
    <x v="113"/>
    <m/>
    <m/>
    <s v=" "/>
    <m/>
    <x v="0"/>
  </r>
  <r>
    <x v="114"/>
    <m/>
    <m/>
    <s v=" "/>
    <m/>
    <x v="0"/>
  </r>
  <r>
    <x v="115"/>
    <m/>
    <m/>
    <s v=" "/>
    <m/>
    <x v="0"/>
  </r>
  <r>
    <x v="116"/>
    <m/>
    <m/>
    <s v=" "/>
    <m/>
    <x v="0"/>
  </r>
  <r>
    <x v="117"/>
    <m/>
    <m/>
    <s v=" "/>
    <m/>
    <x v="0"/>
  </r>
  <r>
    <x v="118"/>
    <m/>
    <m/>
    <s v=" "/>
    <m/>
    <x v="0"/>
  </r>
  <r>
    <x v="119"/>
    <m/>
    <m/>
    <s v=" "/>
    <m/>
    <x v="0"/>
  </r>
  <r>
    <x v="120"/>
    <m/>
    <m/>
    <s v=" "/>
    <m/>
    <x v="0"/>
  </r>
  <r>
    <x v="121"/>
    <m/>
    <m/>
    <s v=" "/>
    <m/>
    <x v="0"/>
  </r>
  <r>
    <x v="122"/>
    <m/>
    <m/>
    <s v=" "/>
    <m/>
    <x v="0"/>
  </r>
  <r>
    <x v="123"/>
    <m/>
    <m/>
    <s v=" "/>
    <m/>
    <x v="0"/>
  </r>
  <r>
    <x v="124"/>
    <m/>
    <m/>
    <s v=" "/>
    <m/>
    <x v="0"/>
  </r>
  <r>
    <x v="125"/>
    <m/>
    <m/>
    <s v=" "/>
    <m/>
    <x v="0"/>
  </r>
  <r>
    <x v="126"/>
    <m/>
    <m/>
    <s v=" "/>
    <m/>
    <x v="0"/>
  </r>
  <r>
    <x v="127"/>
    <m/>
    <m/>
    <s v=" "/>
    <m/>
    <x v="0"/>
  </r>
  <r>
    <x v="128"/>
    <m/>
    <m/>
    <s v=" "/>
    <m/>
    <x v="0"/>
  </r>
  <r>
    <x v="129"/>
    <m/>
    <m/>
    <s v=" "/>
    <m/>
    <x v="0"/>
  </r>
  <r>
    <x v="130"/>
    <m/>
    <m/>
    <s v=" "/>
    <m/>
    <x v="0"/>
  </r>
  <r>
    <x v="131"/>
    <m/>
    <m/>
    <s v=" "/>
    <m/>
    <x v="0"/>
  </r>
  <r>
    <x v="132"/>
    <m/>
    <m/>
    <s v=" "/>
    <m/>
    <x v="0"/>
  </r>
  <r>
    <x v="133"/>
    <m/>
    <m/>
    <s v=" "/>
    <m/>
    <x v="0"/>
  </r>
  <r>
    <x v="134"/>
    <m/>
    <m/>
    <s v=" "/>
    <m/>
    <x v="0"/>
  </r>
  <r>
    <x v="135"/>
    <m/>
    <m/>
    <s v=" "/>
    <m/>
    <x v="0"/>
  </r>
  <r>
    <x v="136"/>
    <m/>
    <m/>
    <s v=" "/>
    <m/>
    <x v="0"/>
  </r>
  <r>
    <x v="137"/>
    <m/>
    <m/>
    <s v=" "/>
    <m/>
    <x v="0"/>
  </r>
  <r>
    <x v="138"/>
    <m/>
    <m/>
    <s v=" "/>
    <m/>
    <x v="0"/>
  </r>
  <r>
    <x v="139"/>
    <m/>
    <m/>
    <s v=" "/>
    <m/>
    <x v="0"/>
  </r>
  <r>
    <x v="140"/>
    <m/>
    <m/>
    <s v=" "/>
    <m/>
    <x v="0"/>
  </r>
  <r>
    <x v="141"/>
    <m/>
    <m/>
    <s v=" "/>
    <m/>
    <x v="0"/>
  </r>
  <r>
    <x v="142"/>
    <m/>
    <m/>
    <s v=" "/>
    <m/>
    <x v="0"/>
  </r>
  <r>
    <x v="143"/>
    <m/>
    <m/>
    <s v=" "/>
    <m/>
    <x v="0"/>
  </r>
  <r>
    <x v="144"/>
    <m/>
    <m/>
    <s v=" "/>
    <m/>
    <x v="0"/>
  </r>
  <r>
    <x v="145"/>
    <m/>
    <m/>
    <s v=" "/>
    <m/>
    <x v="0"/>
  </r>
  <r>
    <x v="146"/>
    <m/>
    <m/>
    <s v=" "/>
    <m/>
    <x v="0"/>
  </r>
  <r>
    <x v="147"/>
    <m/>
    <m/>
    <s v=" "/>
    <m/>
    <x v="0"/>
  </r>
  <r>
    <x v="148"/>
    <m/>
    <m/>
    <s v=" "/>
    <m/>
    <x v="0"/>
  </r>
  <r>
    <x v="149"/>
    <m/>
    <m/>
    <s v=" "/>
    <m/>
    <x v="0"/>
  </r>
  <r>
    <x v="150"/>
    <m/>
    <m/>
    <s v=" "/>
    <m/>
    <x v="0"/>
  </r>
  <r>
    <x v="151"/>
    <m/>
    <m/>
    <s v=" "/>
    <m/>
    <x v="0"/>
  </r>
  <r>
    <x v="152"/>
    <m/>
    <m/>
    <s v=" "/>
    <m/>
    <x v="0"/>
  </r>
  <r>
    <x v="153"/>
    <m/>
    <m/>
    <s v=" "/>
    <m/>
    <x v="0"/>
  </r>
  <r>
    <x v="154"/>
    <m/>
    <m/>
    <s v=" "/>
    <m/>
    <x v="0"/>
  </r>
  <r>
    <x v="155"/>
    <m/>
    <m/>
    <s v=" "/>
    <m/>
    <x v="0"/>
  </r>
  <r>
    <x v="156"/>
    <m/>
    <m/>
    <s v=" "/>
    <m/>
    <x v="0"/>
  </r>
  <r>
    <x v="157"/>
    <m/>
    <m/>
    <s v=" "/>
    <m/>
    <x v="0"/>
  </r>
  <r>
    <x v="158"/>
    <m/>
    <m/>
    <s v=" "/>
    <m/>
    <x v="0"/>
  </r>
  <r>
    <x v="159"/>
    <m/>
    <m/>
    <s v=" "/>
    <m/>
    <x v="0"/>
  </r>
  <r>
    <x v="160"/>
    <m/>
    <m/>
    <s v=" "/>
    <m/>
    <x v="0"/>
  </r>
  <r>
    <x v="161"/>
    <m/>
    <m/>
    <s v=" "/>
    <m/>
    <x v="0"/>
  </r>
  <r>
    <x v="162"/>
    <m/>
    <m/>
    <s v=" "/>
    <m/>
    <x v="0"/>
  </r>
  <r>
    <x v="163"/>
    <m/>
    <m/>
    <s v=" "/>
    <m/>
    <x v="0"/>
  </r>
  <r>
    <x v="164"/>
    <m/>
    <m/>
    <s v=" "/>
    <m/>
    <x v="0"/>
  </r>
  <r>
    <x v="165"/>
    <m/>
    <m/>
    <s v=" "/>
    <m/>
    <x v="0"/>
  </r>
  <r>
    <x v="166"/>
    <m/>
    <m/>
    <s v=" "/>
    <m/>
    <x v="0"/>
  </r>
  <r>
    <x v="167"/>
    <m/>
    <m/>
    <s v=" "/>
    <m/>
    <x v="0"/>
  </r>
  <r>
    <x v="168"/>
    <m/>
    <m/>
    <s v=" "/>
    <m/>
    <x v="0"/>
  </r>
  <r>
    <x v="169"/>
    <m/>
    <m/>
    <s v=" "/>
    <m/>
    <x v="0"/>
  </r>
  <r>
    <x v="170"/>
    <m/>
    <m/>
    <s v=" "/>
    <m/>
    <x v="0"/>
  </r>
  <r>
    <x v="171"/>
    <m/>
    <m/>
    <s v=" "/>
    <m/>
    <x v="0"/>
  </r>
  <r>
    <x v="172"/>
    <m/>
    <m/>
    <s v=" "/>
    <m/>
    <x v="0"/>
  </r>
  <r>
    <x v="173"/>
    <m/>
    <m/>
    <s v=" "/>
    <m/>
    <x v="0"/>
  </r>
  <r>
    <x v="174"/>
    <m/>
    <m/>
    <s v=" "/>
    <m/>
    <x v="0"/>
  </r>
  <r>
    <x v="175"/>
    <m/>
    <m/>
    <s v=" "/>
    <m/>
    <x v="0"/>
  </r>
  <r>
    <x v="176"/>
    <m/>
    <m/>
    <s v=" "/>
    <m/>
    <x v="0"/>
  </r>
  <r>
    <x v="177"/>
    <m/>
    <m/>
    <s v=" "/>
    <m/>
    <x v="0"/>
  </r>
  <r>
    <x v="178"/>
    <m/>
    <m/>
    <s v=" "/>
    <m/>
    <x v="0"/>
  </r>
  <r>
    <x v="179"/>
    <m/>
    <m/>
    <s v=" "/>
    <m/>
    <x v="0"/>
  </r>
  <r>
    <x v="180"/>
    <m/>
    <m/>
    <s v=" "/>
    <m/>
    <x v="0"/>
  </r>
  <r>
    <x v="181"/>
    <m/>
    <m/>
    <s v=" "/>
    <m/>
    <x v="0"/>
  </r>
  <r>
    <x v="182"/>
    <m/>
    <m/>
    <s v=" "/>
    <m/>
    <x v="0"/>
  </r>
  <r>
    <x v="183"/>
    <m/>
    <m/>
    <s v=" "/>
    <m/>
    <x v="0"/>
  </r>
  <r>
    <x v="184"/>
    <m/>
    <m/>
    <s v=" "/>
    <m/>
    <x v="0"/>
  </r>
  <r>
    <x v="185"/>
    <m/>
    <m/>
    <s v=" "/>
    <m/>
    <x v="0"/>
  </r>
  <r>
    <x v="186"/>
    <m/>
    <m/>
    <s v=" "/>
    <m/>
    <x v="0"/>
  </r>
  <r>
    <x v="187"/>
    <m/>
    <m/>
    <s v=" "/>
    <m/>
    <x v="0"/>
  </r>
  <r>
    <x v="188"/>
    <m/>
    <m/>
    <s v=" "/>
    <m/>
    <x v="0"/>
  </r>
  <r>
    <x v="189"/>
    <m/>
    <m/>
    <s v=" "/>
    <m/>
    <x v="0"/>
  </r>
  <r>
    <x v="190"/>
    <m/>
    <m/>
    <s v=" "/>
    <m/>
    <x v="0"/>
  </r>
  <r>
    <x v="191"/>
    <m/>
    <m/>
    <s v=" "/>
    <m/>
    <x v="0"/>
  </r>
  <r>
    <x v="192"/>
    <m/>
    <m/>
    <s v=" "/>
    <m/>
    <x v="0"/>
  </r>
  <r>
    <x v="193"/>
    <m/>
    <m/>
    <s v=" "/>
    <m/>
    <x v="0"/>
  </r>
  <r>
    <x v="194"/>
    <m/>
    <m/>
    <s v=" "/>
    <m/>
    <x v="0"/>
  </r>
  <r>
    <x v="195"/>
    <m/>
    <m/>
    <s v=" "/>
    <m/>
    <x v="0"/>
  </r>
  <r>
    <x v="196"/>
    <m/>
    <m/>
    <s v=" "/>
    <m/>
    <x v="0"/>
  </r>
  <r>
    <x v="197"/>
    <m/>
    <m/>
    <s v=" "/>
    <m/>
    <x v="0"/>
  </r>
  <r>
    <x v="198"/>
    <m/>
    <m/>
    <s v=" "/>
    <m/>
    <x v="0"/>
  </r>
  <r>
    <x v="199"/>
    <m/>
    <m/>
    <s v=" "/>
    <m/>
    <x v="0"/>
  </r>
  <r>
    <x v="200"/>
    <m/>
    <m/>
    <s v=" "/>
    <m/>
    <x v="0"/>
  </r>
  <r>
    <x v="201"/>
    <m/>
    <m/>
    <s v=" "/>
    <m/>
    <x v="0"/>
  </r>
  <r>
    <x v="202"/>
    <m/>
    <m/>
    <s v=" "/>
    <m/>
    <x v="0"/>
  </r>
  <r>
    <x v="203"/>
    <m/>
    <m/>
    <s v=" "/>
    <m/>
    <x v="0"/>
  </r>
  <r>
    <x v="204"/>
    <m/>
    <m/>
    <s v=" "/>
    <m/>
    <x v="0"/>
  </r>
  <r>
    <x v="205"/>
    <m/>
    <m/>
    <s v=" "/>
    <m/>
    <x v="0"/>
  </r>
  <r>
    <x v="206"/>
    <m/>
    <m/>
    <s v=" "/>
    <m/>
    <x v="0"/>
  </r>
  <r>
    <x v="207"/>
    <m/>
    <m/>
    <s v=" "/>
    <m/>
    <x v="0"/>
  </r>
  <r>
    <x v="208"/>
    <m/>
    <m/>
    <s v=" "/>
    <m/>
    <x v="0"/>
  </r>
  <r>
    <x v="209"/>
    <m/>
    <m/>
    <s v=" "/>
    <m/>
    <x v="0"/>
  </r>
  <r>
    <x v="210"/>
    <m/>
    <m/>
    <s v=" "/>
    <m/>
    <x v="0"/>
  </r>
  <r>
    <x v="211"/>
    <m/>
    <m/>
    <s v=" "/>
    <m/>
    <x v="0"/>
  </r>
  <r>
    <x v="212"/>
    <m/>
    <m/>
    <s v=" "/>
    <m/>
    <x v="0"/>
  </r>
  <r>
    <x v="213"/>
    <m/>
    <m/>
    <s v=" "/>
    <m/>
    <x v="0"/>
  </r>
  <r>
    <x v="214"/>
    <m/>
    <m/>
    <s v=" "/>
    <m/>
    <x v="0"/>
  </r>
  <r>
    <x v="215"/>
    <m/>
    <m/>
    <s v=" "/>
    <m/>
    <x v="0"/>
  </r>
  <r>
    <x v="216"/>
    <m/>
    <m/>
    <s v=" "/>
    <m/>
    <x v="0"/>
  </r>
  <r>
    <x v="217"/>
    <m/>
    <m/>
    <s v=" "/>
    <m/>
    <x v="0"/>
  </r>
  <r>
    <x v="218"/>
    <m/>
    <m/>
    <s v=" "/>
    <m/>
    <x v="0"/>
  </r>
  <r>
    <x v="219"/>
    <m/>
    <m/>
    <s v=" "/>
    <m/>
    <x v="0"/>
  </r>
  <r>
    <x v="220"/>
    <m/>
    <m/>
    <s v=" "/>
    <m/>
    <x v="0"/>
  </r>
  <r>
    <x v="221"/>
    <m/>
    <m/>
    <s v=" "/>
    <m/>
    <x v="0"/>
  </r>
  <r>
    <x v="222"/>
    <m/>
    <m/>
    <s v=" "/>
    <m/>
    <x v="0"/>
  </r>
  <r>
    <x v="223"/>
    <m/>
    <m/>
    <s v=" "/>
    <m/>
    <x v="0"/>
  </r>
  <r>
    <x v="224"/>
    <m/>
    <m/>
    <s v=" "/>
    <m/>
    <x v="0"/>
  </r>
  <r>
    <x v="225"/>
    <m/>
    <m/>
    <s v=" "/>
    <m/>
    <x v="0"/>
  </r>
  <r>
    <x v="226"/>
    <m/>
    <m/>
    <s v=" "/>
    <m/>
    <x v="0"/>
  </r>
  <r>
    <x v="227"/>
    <m/>
    <m/>
    <s v=" "/>
    <m/>
    <x v="0"/>
  </r>
  <r>
    <x v="228"/>
    <m/>
    <m/>
    <s v=" "/>
    <m/>
    <x v="0"/>
  </r>
  <r>
    <x v="229"/>
    <m/>
    <m/>
    <s v=" "/>
    <m/>
    <x v="0"/>
  </r>
  <r>
    <x v="230"/>
    <m/>
    <m/>
    <s v=" "/>
    <m/>
    <x v="0"/>
  </r>
  <r>
    <x v="231"/>
    <m/>
    <m/>
    <s v=" "/>
    <m/>
    <x v="0"/>
  </r>
  <r>
    <x v="232"/>
    <m/>
    <m/>
    <s v=" "/>
    <m/>
    <x v="0"/>
  </r>
  <r>
    <x v="233"/>
    <m/>
    <m/>
    <s v=" "/>
    <m/>
    <x v="0"/>
  </r>
  <r>
    <x v="234"/>
    <m/>
    <m/>
    <s v=" "/>
    <m/>
    <x v="0"/>
  </r>
  <r>
    <x v="235"/>
    <m/>
    <m/>
    <s v=" "/>
    <m/>
    <x v="0"/>
  </r>
  <r>
    <x v="236"/>
    <m/>
    <m/>
    <s v=" "/>
    <m/>
    <x v="0"/>
  </r>
  <r>
    <x v="237"/>
    <m/>
    <m/>
    <s v=" "/>
    <m/>
    <x v="0"/>
  </r>
  <r>
    <x v="238"/>
    <m/>
    <m/>
    <s v=" "/>
    <m/>
    <x v="0"/>
  </r>
  <r>
    <x v="239"/>
    <m/>
    <m/>
    <s v=" "/>
    <m/>
    <x v="0"/>
  </r>
  <r>
    <x v="240"/>
    <m/>
    <m/>
    <s v=" "/>
    <m/>
    <x v="0"/>
  </r>
  <r>
    <x v="241"/>
    <m/>
    <m/>
    <s v=" "/>
    <m/>
    <x v="0"/>
  </r>
  <r>
    <x v="242"/>
    <m/>
    <m/>
    <s v=" "/>
    <m/>
    <x v="0"/>
  </r>
  <r>
    <x v="243"/>
    <m/>
    <m/>
    <s v=" "/>
    <m/>
    <x v="0"/>
  </r>
  <r>
    <x v="244"/>
    <m/>
    <m/>
    <s v=" "/>
    <m/>
    <x v="0"/>
  </r>
  <r>
    <x v="245"/>
    <m/>
    <m/>
    <s v=" "/>
    <m/>
    <x v="0"/>
  </r>
  <r>
    <x v="246"/>
    <m/>
    <m/>
    <s v=" "/>
    <m/>
    <x v="0"/>
  </r>
  <r>
    <x v="247"/>
    <m/>
    <m/>
    <s v=" "/>
    <m/>
    <x v="0"/>
  </r>
  <r>
    <x v="248"/>
    <m/>
    <m/>
    <s v=" "/>
    <m/>
    <x v="0"/>
  </r>
  <r>
    <x v="249"/>
    <m/>
    <m/>
    <s v=" "/>
    <m/>
    <x v="0"/>
  </r>
  <r>
    <x v="250"/>
    <m/>
    <m/>
    <s v=" "/>
    <m/>
    <x v="0"/>
  </r>
  <r>
    <x v="251"/>
    <m/>
    <m/>
    <s v=" "/>
    <m/>
    <x v="0"/>
  </r>
  <r>
    <x v="252"/>
    <m/>
    <m/>
    <s v=" "/>
    <m/>
    <x v="0"/>
  </r>
  <r>
    <x v="253"/>
    <m/>
    <m/>
    <s v=" "/>
    <m/>
    <x v="0"/>
  </r>
  <r>
    <x v="254"/>
    <m/>
    <m/>
    <s v=" "/>
    <m/>
    <x v="0"/>
  </r>
  <r>
    <x v="255"/>
    <m/>
    <m/>
    <s v=" "/>
    <m/>
    <x v="0"/>
  </r>
  <r>
    <x v="256"/>
    <m/>
    <m/>
    <s v=" "/>
    <m/>
    <x v="0"/>
  </r>
  <r>
    <x v="257"/>
    <m/>
    <m/>
    <s v=" "/>
    <m/>
    <x v="0"/>
  </r>
  <r>
    <x v="258"/>
    <m/>
    <m/>
    <s v=" "/>
    <m/>
    <x v="0"/>
  </r>
  <r>
    <x v="259"/>
    <m/>
    <m/>
    <s v=" "/>
    <m/>
    <x v="0"/>
  </r>
  <r>
    <x v="260"/>
    <m/>
    <m/>
    <s v=" "/>
    <m/>
    <x v="0"/>
  </r>
  <r>
    <x v="261"/>
    <m/>
    <m/>
    <s v=" "/>
    <m/>
    <x v="0"/>
  </r>
  <r>
    <x v="262"/>
    <m/>
    <m/>
    <s v=" "/>
    <m/>
    <x v="0"/>
  </r>
  <r>
    <x v="263"/>
    <m/>
    <m/>
    <s v=" "/>
    <m/>
    <x v="0"/>
  </r>
  <r>
    <x v="264"/>
    <m/>
    <m/>
    <s v=" "/>
    <m/>
    <x v="0"/>
  </r>
  <r>
    <x v="265"/>
    <m/>
    <m/>
    <s v=" "/>
    <m/>
    <x v="0"/>
  </r>
  <r>
    <x v="266"/>
    <m/>
    <m/>
    <s v=" "/>
    <m/>
    <x v="0"/>
  </r>
  <r>
    <x v="0"/>
    <n v="500"/>
    <n v="40"/>
    <n v="460"/>
    <m/>
    <x v="1"/>
  </r>
  <r>
    <x v="1"/>
    <m/>
    <m/>
    <s v=" "/>
    <m/>
    <x v="1"/>
  </r>
  <r>
    <x v="2"/>
    <m/>
    <m/>
    <s v=" "/>
    <m/>
    <x v="1"/>
  </r>
  <r>
    <x v="3"/>
    <m/>
    <m/>
    <s v=" "/>
    <m/>
    <x v="1"/>
  </r>
  <r>
    <x v="4"/>
    <m/>
    <m/>
    <s v=" "/>
    <m/>
    <x v="1"/>
  </r>
  <r>
    <x v="5"/>
    <m/>
    <m/>
    <s v=" "/>
    <m/>
    <x v="1"/>
  </r>
  <r>
    <x v="6"/>
    <m/>
    <m/>
    <s v=" "/>
    <m/>
    <x v="1"/>
  </r>
  <r>
    <x v="7"/>
    <m/>
    <m/>
    <s v=" "/>
    <m/>
    <x v="1"/>
  </r>
  <r>
    <x v="8"/>
    <m/>
    <m/>
    <s v=" "/>
    <m/>
    <x v="1"/>
  </r>
  <r>
    <x v="9"/>
    <m/>
    <m/>
    <s v=" "/>
    <m/>
    <x v="1"/>
  </r>
  <r>
    <x v="10"/>
    <m/>
    <m/>
    <s v=" "/>
    <m/>
    <x v="1"/>
  </r>
  <r>
    <x v="11"/>
    <m/>
    <m/>
    <s v=" "/>
    <m/>
    <x v="1"/>
  </r>
  <r>
    <x v="12"/>
    <m/>
    <m/>
    <s v=" "/>
    <m/>
    <x v="1"/>
  </r>
  <r>
    <x v="13"/>
    <m/>
    <m/>
    <s v=" "/>
    <m/>
    <x v="1"/>
  </r>
  <r>
    <x v="14"/>
    <m/>
    <m/>
    <s v=" "/>
    <m/>
    <x v="1"/>
  </r>
  <r>
    <x v="15"/>
    <m/>
    <m/>
    <s v=" "/>
    <m/>
    <x v="1"/>
  </r>
  <r>
    <x v="16"/>
    <m/>
    <m/>
    <s v=" "/>
    <m/>
    <x v="1"/>
  </r>
  <r>
    <x v="17"/>
    <m/>
    <m/>
    <s v=" "/>
    <m/>
    <x v="1"/>
  </r>
  <r>
    <x v="18"/>
    <m/>
    <m/>
    <s v=" "/>
    <m/>
    <x v="1"/>
  </r>
  <r>
    <x v="19"/>
    <m/>
    <m/>
    <s v=" "/>
    <m/>
    <x v="1"/>
  </r>
  <r>
    <x v="20"/>
    <m/>
    <m/>
    <s v=" "/>
    <m/>
    <x v="1"/>
  </r>
  <r>
    <x v="21"/>
    <m/>
    <m/>
    <s v=" "/>
    <m/>
    <x v="1"/>
  </r>
  <r>
    <x v="22"/>
    <m/>
    <m/>
    <s v=" "/>
    <m/>
    <x v="1"/>
  </r>
  <r>
    <x v="23"/>
    <m/>
    <m/>
    <s v=" "/>
    <m/>
    <x v="1"/>
  </r>
  <r>
    <x v="24"/>
    <m/>
    <m/>
    <s v=" "/>
    <m/>
    <x v="1"/>
  </r>
  <r>
    <x v="25"/>
    <m/>
    <m/>
    <s v=" "/>
    <m/>
    <x v="1"/>
  </r>
  <r>
    <x v="26"/>
    <m/>
    <m/>
    <s v=" "/>
    <m/>
    <x v="1"/>
  </r>
  <r>
    <x v="27"/>
    <m/>
    <m/>
    <s v=" "/>
    <m/>
    <x v="1"/>
  </r>
  <r>
    <x v="28"/>
    <m/>
    <m/>
    <s v=" "/>
    <m/>
    <x v="1"/>
  </r>
  <r>
    <x v="29"/>
    <m/>
    <m/>
    <s v=" "/>
    <m/>
    <x v="1"/>
  </r>
  <r>
    <x v="30"/>
    <m/>
    <m/>
    <s v=" "/>
    <m/>
    <x v="1"/>
  </r>
  <r>
    <x v="31"/>
    <m/>
    <m/>
    <s v=" "/>
    <m/>
    <x v="1"/>
  </r>
  <r>
    <x v="32"/>
    <m/>
    <m/>
    <s v=" "/>
    <m/>
    <x v="1"/>
  </r>
  <r>
    <x v="33"/>
    <m/>
    <m/>
    <s v=" "/>
    <m/>
    <x v="1"/>
  </r>
  <r>
    <x v="34"/>
    <m/>
    <m/>
    <s v=" "/>
    <m/>
    <x v="1"/>
  </r>
  <r>
    <x v="35"/>
    <m/>
    <m/>
    <s v=" "/>
    <m/>
    <x v="1"/>
  </r>
  <r>
    <x v="36"/>
    <m/>
    <m/>
    <s v=" "/>
    <m/>
    <x v="1"/>
  </r>
  <r>
    <x v="37"/>
    <m/>
    <m/>
    <s v=" "/>
    <m/>
    <x v="1"/>
  </r>
  <r>
    <x v="38"/>
    <m/>
    <m/>
    <s v=" "/>
    <m/>
    <x v="1"/>
  </r>
  <r>
    <x v="39"/>
    <m/>
    <m/>
    <s v=" "/>
    <m/>
    <x v="1"/>
  </r>
  <r>
    <x v="40"/>
    <m/>
    <m/>
    <s v=" "/>
    <m/>
    <x v="1"/>
  </r>
  <r>
    <x v="41"/>
    <m/>
    <m/>
    <s v=" "/>
    <m/>
    <x v="1"/>
  </r>
  <r>
    <x v="42"/>
    <m/>
    <m/>
    <s v=" "/>
    <m/>
    <x v="1"/>
  </r>
  <r>
    <x v="43"/>
    <m/>
    <m/>
    <s v=" "/>
    <m/>
    <x v="1"/>
  </r>
  <r>
    <x v="44"/>
    <m/>
    <m/>
    <s v=" "/>
    <m/>
    <x v="1"/>
  </r>
  <r>
    <x v="45"/>
    <m/>
    <m/>
    <s v=" "/>
    <m/>
    <x v="1"/>
  </r>
  <r>
    <x v="46"/>
    <m/>
    <m/>
    <s v=" "/>
    <m/>
    <x v="1"/>
  </r>
  <r>
    <x v="47"/>
    <m/>
    <m/>
    <s v=" "/>
    <m/>
    <x v="1"/>
  </r>
  <r>
    <x v="48"/>
    <m/>
    <m/>
    <s v=" "/>
    <m/>
    <x v="1"/>
  </r>
  <r>
    <x v="49"/>
    <m/>
    <m/>
    <s v=" "/>
    <m/>
    <x v="1"/>
  </r>
  <r>
    <x v="50"/>
    <m/>
    <m/>
    <s v=" "/>
    <m/>
    <x v="1"/>
  </r>
  <r>
    <x v="51"/>
    <m/>
    <m/>
    <s v=" "/>
    <m/>
    <x v="1"/>
  </r>
  <r>
    <x v="52"/>
    <m/>
    <m/>
    <s v=" "/>
    <m/>
    <x v="1"/>
  </r>
  <r>
    <x v="53"/>
    <m/>
    <m/>
    <s v=" "/>
    <m/>
    <x v="1"/>
  </r>
  <r>
    <x v="54"/>
    <m/>
    <m/>
    <s v=" "/>
    <m/>
    <x v="1"/>
  </r>
  <r>
    <x v="55"/>
    <m/>
    <m/>
    <s v=" "/>
    <m/>
    <x v="1"/>
  </r>
  <r>
    <x v="56"/>
    <m/>
    <m/>
    <s v=" "/>
    <m/>
    <x v="1"/>
  </r>
  <r>
    <x v="57"/>
    <m/>
    <m/>
    <s v=" "/>
    <m/>
    <x v="1"/>
  </r>
  <r>
    <x v="58"/>
    <m/>
    <m/>
    <s v=" "/>
    <m/>
    <x v="1"/>
  </r>
  <r>
    <x v="59"/>
    <m/>
    <m/>
    <s v=" "/>
    <m/>
    <x v="1"/>
  </r>
  <r>
    <x v="60"/>
    <m/>
    <m/>
    <s v=" "/>
    <m/>
    <x v="1"/>
  </r>
  <r>
    <x v="61"/>
    <m/>
    <m/>
    <s v=" "/>
    <m/>
    <x v="1"/>
  </r>
  <r>
    <x v="62"/>
    <m/>
    <m/>
    <s v=" "/>
    <m/>
    <x v="1"/>
  </r>
  <r>
    <x v="63"/>
    <m/>
    <m/>
    <s v=" "/>
    <m/>
    <x v="1"/>
  </r>
  <r>
    <x v="64"/>
    <m/>
    <m/>
    <s v=" "/>
    <m/>
    <x v="1"/>
  </r>
  <r>
    <x v="65"/>
    <m/>
    <m/>
    <s v=" "/>
    <m/>
    <x v="1"/>
  </r>
  <r>
    <x v="66"/>
    <m/>
    <m/>
    <s v=" "/>
    <m/>
    <x v="1"/>
  </r>
  <r>
    <x v="67"/>
    <m/>
    <m/>
    <s v=" "/>
    <m/>
    <x v="1"/>
  </r>
  <r>
    <x v="68"/>
    <m/>
    <m/>
    <s v=" "/>
    <m/>
    <x v="1"/>
  </r>
  <r>
    <x v="69"/>
    <m/>
    <m/>
    <s v=" "/>
    <m/>
    <x v="1"/>
  </r>
  <r>
    <x v="70"/>
    <m/>
    <m/>
    <s v=" "/>
    <m/>
    <x v="1"/>
  </r>
  <r>
    <x v="71"/>
    <m/>
    <m/>
    <s v=" "/>
    <m/>
    <x v="1"/>
  </r>
  <r>
    <x v="72"/>
    <m/>
    <m/>
    <s v=" "/>
    <m/>
    <x v="1"/>
  </r>
  <r>
    <x v="73"/>
    <m/>
    <m/>
    <s v=" "/>
    <m/>
    <x v="1"/>
  </r>
  <r>
    <x v="74"/>
    <m/>
    <m/>
    <s v=" "/>
    <m/>
    <x v="1"/>
  </r>
  <r>
    <x v="75"/>
    <m/>
    <m/>
    <s v=" "/>
    <m/>
    <x v="1"/>
  </r>
  <r>
    <x v="76"/>
    <m/>
    <m/>
    <s v=" "/>
    <m/>
    <x v="1"/>
  </r>
  <r>
    <x v="77"/>
    <m/>
    <m/>
    <s v=" "/>
    <m/>
    <x v="1"/>
  </r>
  <r>
    <x v="78"/>
    <m/>
    <m/>
    <s v=" "/>
    <m/>
    <x v="1"/>
  </r>
  <r>
    <x v="79"/>
    <m/>
    <m/>
    <s v=" "/>
    <m/>
    <x v="1"/>
  </r>
  <r>
    <x v="80"/>
    <m/>
    <m/>
    <s v=" "/>
    <m/>
    <x v="1"/>
  </r>
  <r>
    <x v="81"/>
    <m/>
    <m/>
    <s v=" "/>
    <m/>
    <x v="1"/>
  </r>
  <r>
    <x v="82"/>
    <m/>
    <m/>
    <s v=" "/>
    <m/>
    <x v="1"/>
  </r>
  <r>
    <x v="83"/>
    <m/>
    <m/>
    <s v=" "/>
    <m/>
    <x v="1"/>
  </r>
  <r>
    <x v="84"/>
    <m/>
    <m/>
    <s v=" "/>
    <m/>
    <x v="1"/>
  </r>
  <r>
    <x v="85"/>
    <m/>
    <m/>
    <s v=" "/>
    <m/>
    <x v="1"/>
  </r>
  <r>
    <x v="86"/>
    <m/>
    <m/>
    <s v=" "/>
    <m/>
    <x v="1"/>
  </r>
  <r>
    <x v="87"/>
    <m/>
    <m/>
    <s v=" "/>
    <m/>
    <x v="1"/>
  </r>
  <r>
    <x v="88"/>
    <m/>
    <m/>
    <s v=" "/>
    <m/>
    <x v="1"/>
  </r>
  <r>
    <x v="89"/>
    <m/>
    <m/>
    <s v=" "/>
    <m/>
    <x v="1"/>
  </r>
  <r>
    <x v="90"/>
    <m/>
    <m/>
    <s v=" "/>
    <m/>
    <x v="1"/>
  </r>
  <r>
    <x v="91"/>
    <m/>
    <m/>
    <s v=" "/>
    <m/>
    <x v="1"/>
  </r>
  <r>
    <x v="92"/>
    <m/>
    <m/>
    <s v=" "/>
    <m/>
    <x v="1"/>
  </r>
  <r>
    <x v="93"/>
    <m/>
    <m/>
    <s v=" "/>
    <m/>
    <x v="1"/>
  </r>
  <r>
    <x v="94"/>
    <m/>
    <m/>
    <s v=" "/>
    <m/>
    <x v="1"/>
  </r>
  <r>
    <x v="95"/>
    <m/>
    <m/>
    <s v=" "/>
    <m/>
    <x v="1"/>
  </r>
  <r>
    <x v="96"/>
    <m/>
    <m/>
    <s v=" "/>
    <m/>
    <x v="1"/>
  </r>
  <r>
    <x v="97"/>
    <m/>
    <m/>
    <s v=" "/>
    <m/>
    <x v="1"/>
  </r>
  <r>
    <x v="98"/>
    <m/>
    <m/>
    <s v=" "/>
    <m/>
    <x v="1"/>
  </r>
  <r>
    <x v="99"/>
    <m/>
    <m/>
    <s v=" "/>
    <m/>
    <x v="1"/>
  </r>
  <r>
    <x v="100"/>
    <m/>
    <m/>
    <s v=" "/>
    <m/>
    <x v="1"/>
  </r>
  <r>
    <x v="101"/>
    <m/>
    <m/>
    <s v=" "/>
    <m/>
    <x v="1"/>
  </r>
  <r>
    <x v="102"/>
    <m/>
    <m/>
    <s v=" "/>
    <m/>
    <x v="1"/>
  </r>
  <r>
    <x v="103"/>
    <m/>
    <m/>
    <s v=" "/>
    <m/>
    <x v="1"/>
  </r>
  <r>
    <x v="104"/>
    <m/>
    <m/>
    <s v=" "/>
    <m/>
    <x v="1"/>
  </r>
  <r>
    <x v="105"/>
    <m/>
    <m/>
    <s v=" "/>
    <m/>
    <x v="1"/>
  </r>
  <r>
    <x v="106"/>
    <m/>
    <m/>
    <s v=" "/>
    <m/>
    <x v="1"/>
  </r>
  <r>
    <x v="107"/>
    <m/>
    <m/>
    <s v=" "/>
    <m/>
    <x v="1"/>
  </r>
  <r>
    <x v="108"/>
    <m/>
    <m/>
    <s v=" "/>
    <m/>
    <x v="1"/>
  </r>
  <r>
    <x v="109"/>
    <m/>
    <m/>
    <s v=" "/>
    <m/>
    <x v="1"/>
  </r>
  <r>
    <x v="110"/>
    <m/>
    <m/>
    <s v=" "/>
    <m/>
    <x v="1"/>
  </r>
  <r>
    <x v="111"/>
    <m/>
    <m/>
    <s v=" "/>
    <m/>
    <x v="1"/>
  </r>
  <r>
    <x v="112"/>
    <m/>
    <m/>
    <s v=" "/>
    <m/>
    <x v="1"/>
  </r>
  <r>
    <x v="113"/>
    <m/>
    <m/>
    <s v=" "/>
    <m/>
    <x v="1"/>
  </r>
  <r>
    <x v="114"/>
    <m/>
    <m/>
    <s v=" "/>
    <m/>
    <x v="1"/>
  </r>
  <r>
    <x v="115"/>
    <m/>
    <m/>
    <s v=" "/>
    <m/>
    <x v="1"/>
  </r>
  <r>
    <x v="116"/>
    <m/>
    <m/>
    <s v=" "/>
    <m/>
    <x v="1"/>
  </r>
  <r>
    <x v="117"/>
    <m/>
    <m/>
    <s v=" "/>
    <m/>
    <x v="1"/>
  </r>
  <r>
    <x v="118"/>
    <m/>
    <m/>
    <s v=" "/>
    <m/>
    <x v="1"/>
  </r>
  <r>
    <x v="119"/>
    <m/>
    <m/>
    <s v=" "/>
    <m/>
    <x v="1"/>
  </r>
  <r>
    <x v="120"/>
    <m/>
    <m/>
    <s v=" "/>
    <m/>
    <x v="1"/>
  </r>
  <r>
    <x v="121"/>
    <m/>
    <m/>
    <s v=" "/>
    <m/>
    <x v="1"/>
  </r>
  <r>
    <x v="122"/>
    <m/>
    <m/>
    <s v=" "/>
    <m/>
    <x v="1"/>
  </r>
  <r>
    <x v="123"/>
    <m/>
    <m/>
    <s v=" "/>
    <m/>
    <x v="1"/>
  </r>
  <r>
    <x v="124"/>
    <m/>
    <m/>
    <s v=" "/>
    <m/>
    <x v="1"/>
  </r>
  <r>
    <x v="125"/>
    <m/>
    <m/>
    <s v=" "/>
    <m/>
    <x v="1"/>
  </r>
  <r>
    <x v="126"/>
    <m/>
    <m/>
    <s v=" "/>
    <m/>
    <x v="1"/>
  </r>
  <r>
    <x v="127"/>
    <m/>
    <m/>
    <s v=" "/>
    <m/>
    <x v="1"/>
  </r>
  <r>
    <x v="128"/>
    <m/>
    <m/>
    <s v=" "/>
    <m/>
    <x v="1"/>
  </r>
  <r>
    <x v="129"/>
    <m/>
    <m/>
    <s v=" "/>
    <m/>
    <x v="1"/>
  </r>
  <r>
    <x v="130"/>
    <m/>
    <m/>
    <s v=" "/>
    <m/>
    <x v="1"/>
  </r>
  <r>
    <x v="131"/>
    <m/>
    <m/>
    <s v=" "/>
    <m/>
    <x v="1"/>
  </r>
  <r>
    <x v="132"/>
    <m/>
    <m/>
    <s v=" "/>
    <m/>
    <x v="1"/>
  </r>
  <r>
    <x v="133"/>
    <m/>
    <m/>
    <s v=" "/>
    <m/>
    <x v="1"/>
  </r>
  <r>
    <x v="134"/>
    <m/>
    <m/>
    <s v=" "/>
    <m/>
    <x v="1"/>
  </r>
  <r>
    <x v="135"/>
    <m/>
    <m/>
    <s v=" "/>
    <m/>
    <x v="1"/>
  </r>
  <r>
    <x v="136"/>
    <m/>
    <m/>
    <s v=" "/>
    <m/>
    <x v="1"/>
  </r>
  <r>
    <x v="137"/>
    <m/>
    <m/>
    <s v=" "/>
    <m/>
    <x v="1"/>
  </r>
  <r>
    <x v="138"/>
    <m/>
    <m/>
    <s v=" "/>
    <m/>
    <x v="1"/>
  </r>
  <r>
    <x v="139"/>
    <m/>
    <m/>
    <s v=" "/>
    <m/>
    <x v="1"/>
  </r>
  <r>
    <x v="140"/>
    <m/>
    <m/>
    <s v=" "/>
    <m/>
    <x v="1"/>
  </r>
  <r>
    <x v="141"/>
    <m/>
    <m/>
    <s v=" "/>
    <m/>
    <x v="1"/>
  </r>
  <r>
    <x v="142"/>
    <m/>
    <m/>
    <s v=" "/>
    <m/>
    <x v="1"/>
  </r>
  <r>
    <x v="143"/>
    <m/>
    <m/>
    <s v=" "/>
    <m/>
    <x v="1"/>
  </r>
  <r>
    <x v="144"/>
    <m/>
    <m/>
    <s v=" "/>
    <m/>
    <x v="1"/>
  </r>
  <r>
    <x v="145"/>
    <m/>
    <m/>
    <s v=" "/>
    <m/>
    <x v="1"/>
  </r>
  <r>
    <x v="146"/>
    <m/>
    <m/>
    <s v=" "/>
    <m/>
    <x v="1"/>
  </r>
  <r>
    <x v="147"/>
    <m/>
    <m/>
    <s v=" "/>
    <m/>
    <x v="1"/>
  </r>
  <r>
    <x v="148"/>
    <m/>
    <m/>
    <s v=" "/>
    <m/>
    <x v="1"/>
  </r>
  <r>
    <x v="149"/>
    <m/>
    <m/>
    <s v=" "/>
    <m/>
    <x v="1"/>
  </r>
  <r>
    <x v="150"/>
    <m/>
    <m/>
    <s v=" "/>
    <m/>
    <x v="1"/>
  </r>
  <r>
    <x v="151"/>
    <m/>
    <m/>
    <s v=" "/>
    <m/>
    <x v="1"/>
  </r>
  <r>
    <x v="152"/>
    <m/>
    <m/>
    <s v=" "/>
    <m/>
    <x v="1"/>
  </r>
  <r>
    <x v="153"/>
    <m/>
    <m/>
    <s v=" "/>
    <m/>
    <x v="1"/>
  </r>
  <r>
    <x v="154"/>
    <m/>
    <m/>
    <s v=" "/>
    <m/>
    <x v="1"/>
  </r>
  <r>
    <x v="155"/>
    <m/>
    <m/>
    <s v=" "/>
    <m/>
    <x v="1"/>
  </r>
  <r>
    <x v="156"/>
    <m/>
    <m/>
    <s v=" "/>
    <m/>
    <x v="1"/>
  </r>
  <r>
    <x v="157"/>
    <m/>
    <m/>
    <s v=" "/>
    <m/>
    <x v="1"/>
  </r>
  <r>
    <x v="158"/>
    <m/>
    <m/>
    <s v=" "/>
    <m/>
    <x v="1"/>
  </r>
  <r>
    <x v="159"/>
    <m/>
    <m/>
    <s v=" "/>
    <m/>
    <x v="1"/>
  </r>
  <r>
    <x v="160"/>
    <m/>
    <m/>
    <s v=" "/>
    <m/>
    <x v="1"/>
  </r>
  <r>
    <x v="161"/>
    <m/>
    <m/>
    <s v=" "/>
    <m/>
    <x v="1"/>
  </r>
  <r>
    <x v="162"/>
    <m/>
    <m/>
    <s v=" "/>
    <m/>
    <x v="1"/>
  </r>
  <r>
    <x v="163"/>
    <m/>
    <m/>
    <s v=" "/>
    <m/>
    <x v="1"/>
  </r>
  <r>
    <x v="164"/>
    <m/>
    <m/>
    <s v=" "/>
    <m/>
    <x v="1"/>
  </r>
  <r>
    <x v="165"/>
    <m/>
    <m/>
    <s v=" "/>
    <m/>
    <x v="1"/>
  </r>
  <r>
    <x v="166"/>
    <m/>
    <m/>
    <s v=" "/>
    <m/>
    <x v="1"/>
  </r>
  <r>
    <x v="167"/>
    <m/>
    <m/>
    <s v=" "/>
    <m/>
    <x v="1"/>
  </r>
  <r>
    <x v="168"/>
    <m/>
    <m/>
    <s v=" "/>
    <m/>
    <x v="1"/>
  </r>
  <r>
    <x v="169"/>
    <m/>
    <m/>
    <s v=" "/>
    <m/>
    <x v="1"/>
  </r>
  <r>
    <x v="170"/>
    <m/>
    <m/>
    <s v=" "/>
    <m/>
    <x v="1"/>
  </r>
  <r>
    <x v="171"/>
    <m/>
    <m/>
    <s v=" "/>
    <m/>
    <x v="1"/>
  </r>
  <r>
    <x v="172"/>
    <m/>
    <m/>
    <s v=" "/>
    <m/>
    <x v="1"/>
  </r>
  <r>
    <x v="173"/>
    <m/>
    <m/>
    <s v=" "/>
    <m/>
    <x v="1"/>
  </r>
  <r>
    <x v="174"/>
    <m/>
    <m/>
    <s v=" "/>
    <m/>
    <x v="1"/>
  </r>
  <r>
    <x v="175"/>
    <m/>
    <m/>
    <s v=" "/>
    <m/>
    <x v="1"/>
  </r>
  <r>
    <x v="176"/>
    <m/>
    <m/>
    <s v=" "/>
    <m/>
    <x v="1"/>
  </r>
  <r>
    <x v="177"/>
    <m/>
    <m/>
    <s v=" "/>
    <m/>
    <x v="1"/>
  </r>
  <r>
    <x v="178"/>
    <m/>
    <m/>
    <s v=" "/>
    <m/>
    <x v="1"/>
  </r>
  <r>
    <x v="179"/>
    <m/>
    <m/>
    <s v=" "/>
    <m/>
    <x v="1"/>
  </r>
  <r>
    <x v="180"/>
    <m/>
    <m/>
    <s v=" "/>
    <m/>
    <x v="1"/>
  </r>
  <r>
    <x v="181"/>
    <m/>
    <m/>
    <s v=" "/>
    <m/>
    <x v="1"/>
  </r>
  <r>
    <x v="182"/>
    <m/>
    <m/>
    <s v=" "/>
    <m/>
    <x v="1"/>
  </r>
  <r>
    <x v="183"/>
    <m/>
    <m/>
    <s v=" "/>
    <m/>
    <x v="1"/>
  </r>
  <r>
    <x v="184"/>
    <m/>
    <m/>
    <s v=" "/>
    <m/>
    <x v="1"/>
  </r>
  <r>
    <x v="185"/>
    <m/>
    <m/>
    <s v=" "/>
    <m/>
    <x v="1"/>
  </r>
  <r>
    <x v="186"/>
    <m/>
    <m/>
    <s v=" "/>
    <m/>
    <x v="1"/>
  </r>
  <r>
    <x v="187"/>
    <m/>
    <m/>
    <s v=" "/>
    <m/>
    <x v="1"/>
  </r>
  <r>
    <x v="188"/>
    <m/>
    <m/>
    <s v=" "/>
    <m/>
    <x v="1"/>
  </r>
  <r>
    <x v="189"/>
    <m/>
    <m/>
    <s v=" "/>
    <m/>
    <x v="1"/>
  </r>
  <r>
    <x v="190"/>
    <m/>
    <m/>
    <s v=" "/>
    <m/>
    <x v="1"/>
  </r>
  <r>
    <x v="191"/>
    <m/>
    <m/>
    <s v=" "/>
    <m/>
    <x v="1"/>
  </r>
  <r>
    <x v="192"/>
    <m/>
    <m/>
    <s v=" "/>
    <m/>
    <x v="1"/>
  </r>
  <r>
    <x v="193"/>
    <m/>
    <m/>
    <s v=" "/>
    <m/>
    <x v="1"/>
  </r>
  <r>
    <x v="194"/>
    <m/>
    <m/>
    <s v=" "/>
    <m/>
    <x v="1"/>
  </r>
  <r>
    <x v="195"/>
    <m/>
    <m/>
    <s v=" "/>
    <m/>
    <x v="1"/>
  </r>
  <r>
    <x v="196"/>
    <m/>
    <m/>
    <s v=" "/>
    <m/>
    <x v="1"/>
  </r>
  <r>
    <x v="197"/>
    <m/>
    <m/>
    <s v=" "/>
    <m/>
    <x v="1"/>
  </r>
  <r>
    <x v="198"/>
    <m/>
    <m/>
    <s v=" "/>
    <m/>
    <x v="1"/>
  </r>
  <r>
    <x v="199"/>
    <m/>
    <m/>
    <s v=" "/>
    <m/>
    <x v="1"/>
  </r>
  <r>
    <x v="200"/>
    <m/>
    <m/>
    <s v=" "/>
    <m/>
    <x v="1"/>
  </r>
  <r>
    <x v="201"/>
    <m/>
    <m/>
    <s v=" "/>
    <m/>
    <x v="1"/>
  </r>
  <r>
    <x v="202"/>
    <m/>
    <m/>
    <s v=" "/>
    <m/>
    <x v="1"/>
  </r>
  <r>
    <x v="203"/>
    <m/>
    <m/>
    <s v=" "/>
    <m/>
    <x v="1"/>
  </r>
  <r>
    <x v="204"/>
    <m/>
    <m/>
    <s v=" "/>
    <m/>
    <x v="1"/>
  </r>
  <r>
    <x v="205"/>
    <m/>
    <m/>
    <s v=" "/>
    <m/>
    <x v="1"/>
  </r>
  <r>
    <x v="206"/>
    <m/>
    <m/>
    <s v=" "/>
    <m/>
    <x v="1"/>
  </r>
  <r>
    <x v="207"/>
    <m/>
    <m/>
    <s v=" "/>
    <m/>
    <x v="1"/>
  </r>
  <r>
    <x v="208"/>
    <m/>
    <m/>
    <s v=" "/>
    <m/>
    <x v="1"/>
  </r>
  <r>
    <x v="209"/>
    <m/>
    <m/>
    <s v=" "/>
    <m/>
    <x v="1"/>
  </r>
  <r>
    <x v="210"/>
    <m/>
    <m/>
    <s v=" "/>
    <m/>
    <x v="1"/>
  </r>
  <r>
    <x v="211"/>
    <m/>
    <m/>
    <s v=" "/>
    <m/>
    <x v="1"/>
  </r>
  <r>
    <x v="212"/>
    <m/>
    <m/>
    <s v=" "/>
    <m/>
    <x v="1"/>
  </r>
  <r>
    <x v="213"/>
    <m/>
    <m/>
    <s v=" "/>
    <m/>
    <x v="1"/>
  </r>
  <r>
    <x v="214"/>
    <m/>
    <m/>
    <s v=" "/>
    <m/>
    <x v="1"/>
  </r>
  <r>
    <x v="215"/>
    <m/>
    <m/>
    <s v=" "/>
    <m/>
    <x v="1"/>
  </r>
  <r>
    <x v="216"/>
    <m/>
    <m/>
    <s v=" "/>
    <m/>
    <x v="1"/>
  </r>
  <r>
    <x v="217"/>
    <m/>
    <m/>
    <s v=" "/>
    <m/>
    <x v="1"/>
  </r>
  <r>
    <x v="218"/>
    <m/>
    <m/>
    <s v=" "/>
    <m/>
    <x v="1"/>
  </r>
  <r>
    <x v="219"/>
    <m/>
    <m/>
    <s v=" "/>
    <m/>
    <x v="1"/>
  </r>
  <r>
    <x v="220"/>
    <m/>
    <m/>
    <s v=" "/>
    <m/>
    <x v="1"/>
  </r>
  <r>
    <x v="221"/>
    <m/>
    <m/>
    <s v=" "/>
    <m/>
    <x v="1"/>
  </r>
  <r>
    <x v="222"/>
    <m/>
    <m/>
    <s v=" "/>
    <m/>
    <x v="1"/>
  </r>
  <r>
    <x v="223"/>
    <m/>
    <m/>
    <s v=" "/>
    <m/>
    <x v="1"/>
  </r>
  <r>
    <x v="224"/>
    <m/>
    <m/>
    <s v=" "/>
    <m/>
    <x v="1"/>
  </r>
  <r>
    <x v="225"/>
    <m/>
    <m/>
    <s v=" "/>
    <m/>
    <x v="1"/>
  </r>
  <r>
    <x v="226"/>
    <m/>
    <m/>
    <s v=" "/>
    <m/>
    <x v="1"/>
  </r>
  <r>
    <x v="227"/>
    <m/>
    <m/>
    <s v=" "/>
    <m/>
    <x v="1"/>
  </r>
  <r>
    <x v="228"/>
    <m/>
    <m/>
    <s v=" "/>
    <m/>
    <x v="1"/>
  </r>
  <r>
    <x v="229"/>
    <m/>
    <m/>
    <s v=" "/>
    <m/>
    <x v="1"/>
  </r>
  <r>
    <x v="230"/>
    <m/>
    <m/>
    <s v=" "/>
    <m/>
    <x v="1"/>
  </r>
  <r>
    <x v="231"/>
    <m/>
    <m/>
    <s v=" "/>
    <m/>
    <x v="1"/>
  </r>
  <r>
    <x v="232"/>
    <m/>
    <m/>
    <s v=" "/>
    <m/>
    <x v="1"/>
  </r>
  <r>
    <x v="233"/>
    <m/>
    <m/>
    <s v=" "/>
    <m/>
    <x v="1"/>
  </r>
  <r>
    <x v="234"/>
    <m/>
    <m/>
    <s v=" "/>
    <m/>
    <x v="1"/>
  </r>
  <r>
    <x v="235"/>
    <m/>
    <m/>
    <s v=" "/>
    <m/>
    <x v="1"/>
  </r>
  <r>
    <x v="236"/>
    <m/>
    <m/>
    <s v=" "/>
    <m/>
    <x v="1"/>
  </r>
  <r>
    <x v="237"/>
    <m/>
    <m/>
    <s v=" "/>
    <m/>
    <x v="1"/>
  </r>
  <r>
    <x v="238"/>
    <m/>
    <m/>
    <s v=" "/>
    <m/>
    <x v="1"/>
  </r>
  <r>
    <x v="239"/>
    <m/>
    <m/>
    <s v=" "/>
    <m/>
    <x v="1"/>
  </r>
  <r>
    <x v="240"/>
    <m/>
    <m/>
    <s v=" "/>
    <m/>
    <x v="1"/>
  </r>
  <r>
    <x v="241"/>
    <m/>
    <m/>
    <s v=" "/>
    <m/>
    <x v="1"/>
  </r>
  <r>
    <x v="242"/>
    <m/>
    <m/>
    <s v=" "/>
    <m/>
    <x v="1"/>
  </r>
  <r>
    <x v="243"/>
    <m/>
    <m/>
    <s v=" "/>
    <m/>
    <x v="1"/>
  </r>
  <r>
    <x v="244"/>
    <m/>
    <m/>
    <s v=" "/>
    <m/>
    <x v="1"/>
  </r>
  <r>
    <x v="245"/>
    <m/>
    <m/>
    <s v=" "/>
    <m/>
    <x v="1"/>
  </r>
  <r>
    <x v="246"/>
    <m/>
    <m/>
    <s v=" "/>
    <m/>
    <x v="1"/>
  </r>
  <r>
    <x v="247"/>
    <m/>
    <m/>
    <s v=" "/>
    <m/>
    <x v="1"/>
  </r>
  <r>
    <x v="248"/>
    <m/>
    <m/>
    <s v=" "/>
    <m/>
    <x v="1"/>
  </r>
  <r>
    <x v="249"/>
    <m/>
    <m/>
    <s v=" "/>
    <m/>
    <x v="1"/>
  </r>
  <r>
    <x v="250"/>
    <m/>
    <m/>
    <s v=" "/>
    <m/>
    <x v="1"/>
  </r>
  <r>
    <x v="251"/>
    <m/>
    <m/>
    <s v=" "/>
    <m/>
    <x v="1"/>
  </r>
  <r>
    <x v="252"/>
    <m/>
    <m/>
    <s v=" "/>
    <m/>
    <x v="1"/>
  </r>
  <r>
    <x v="253"/>
    <m/>
    <m/>
    <s v=" "/>
    <m/>
    <x v="1"/>
  </r>
  <r>
    <x v="254"/>
    <m/>
    <m/>
    <s v=" "/>
    <m/>
    <x v="1"/>
  </r>
  <r>
    <x v="255"/>
    <m/>
    <m/>
    <s v=" "/>
    <m/>
    <x v="1"/>
  </r>
  <r>
    <x v="256"/>
    <m/>
    <m/>
    <s v=" "/>
    <m/>
    <x v="1"/>
  </r>
  <r>
    <x v="257"/>
    <m/>
    <m/>
    <s v=" "/>
    <m/>
    <x v="1"/>
  </r>
  <r>
    <x v="258"/>
    <m/>
    <m/>
    <s v=" "/>
    <m/>
    <x v="1"/>
  </r>
  <r>
    <x v="259"/>
    <m/>
    <m/>
    <s v=" "/>
    <m/>
    <x v="1"/>
  </r>
  <r>
    <x v="260"/>
    <m/>
    <m/>
    <s v=" "/>
    <m/>
    <x v="1"/>
  </r>
  <r>
    <x v="261"/>
    <m/>
    <m/>
    <s v=" "/>
    <m/>
    <x v="1"/>
  </r>
  <r>
    <x v="262"/>
    <m/>
    <m/>
    <s v=" "/>
    <m/>
    <x v="1"/>
  </r>
  <r>
    <x v="263"/>
    <m/>
    <m/>
    <s v=" "/>
    <m/>
    <x v="1"/>
  </r>
  <r>
    <x v="264"/>
    <m/>
    <m/>
    <s v=" "/>
    <m/>
    <x v="1"/>
  </r>
  <r>
    <x v="265"/>
    <m/>
    <m/>
    <s v=" "/>
    <m/>
    <x v="1"/>
  </r>
  <r>
    <x v="266"/>
    <m/>
    <m/>
    <s v=" "/>
    <m/>
    <x v="1"/>
  </r>
  <r>
    <x v="0"/>
    <n v="2000"/>
    <n v="50"/>
    <n v="1950"/>
    <m/>
    <x v="2"/>
  </r>
  <r>
    <x v="1"/>
    <m/>
    <m/>
    <s v=" "/>
    <m/>
    <x v="2"/>
  </r>
  <r>
    <x v="2"/>
    <m/>
    <m/>
    <s v=" "/>
    <m/>
    <x v="2"/>
  </r>
  <r>
    <x v="3"/>
    <m/>
    <m/>
    <s v=" "/>
    <m/>
    <x v="2"/>
  </r>
  <r>
    <x v="4"/>
    <m/>
    <m/>
    <s v=" "/>
    <m/>
    <x v="2"/>
  </r>
  <r>
    <x v="5"/>
    <m/>
    <m/>
    <s v=" "/>
    <m/>
    <x v="2"/>
  </r>
  <r>
    <x v="6"/>
    <m/>
    <m/>
    <s v=" "/>
    <m/>
    <x v="2"/>
  </r>
  <r>
    <x v="7"/>
    <m/>
    <m/>
    <s v=" "/>
    <m/>
    <x v="2"/>
  </r>
  <r>
    <x v="8"/>
    <m/>
    <m/>
    <s v=" "/>
    <m/>
    <x v="2"/>
  </r>
  <r>
    <x v="9"/>
    <m/>
    <m/>
    <s v=" "/>
    <m/>
    <x v="2"/>
  </r>
  <r>
    <x v="10"/>
    <m/>
    <m/>
    <s v=" "/>
    <m/>
    <x v="2"/>
  </r>
  <r>
    <x v="11"/>
    <m/>
    <m/>
    <s v=" "/>
    <m/>
    <x v="2"/>
  </r>
  <r>
    <x v="12"/>
    <m/>
    <m/>
    <s v=" "/>
    <m/>
    <x v="2"/>
  </r>
  <r>
    <x v="13"/>
    <m/>
    <m/>
    <s v=" "/>
    <m/>
    <x v="2"/>
  </r>
  <r>
    <x v="14"/>
    <m/>
    <m/>
    <s v=" "/>
    <m/>
    <x v="2"/>
  </r>
  <r>
    <x v="15"/>
    <m/>
    <m/>
    <s v=" "/>
    <m/>
    <x v="2"/>
  </r>
  <r>
    <x v="16"/>
    <m/>
    <m/>
    <s v=" "/>
    <m/>
    <x v="2"/>
  </r>
  <r>
    <x v="17"/>
    <m/>
    <m/>
    <s v=" "/>
    <m/>
    <x v="2"/>
  </r>
  <r>
    <x v="18"/>
    <m/>
    <m/>
    <s v=" "/>
    <m/>
    <x v="2"/>
  </r>
  <r>
    <x v="19"/>
    <m/>
    <m/>
    <s v=" "/>
    <m/>
    <x v="2"/>
  </r>
  <r>
    <x v="20"/>
    <m/>
    <m/>
    <s v=" "/>
    <m/>
    <x v="2"/>
  </r>
  <r>
    <x v="21"/>
    <m/>
    <m/>
    <s v=" "/>
    <m/>
    <x v="2"/>
  </r>
  <r>
    <x v="22"/>
    <m/>
    <m/>
    <s v=" "/>
    <m/>
    <x v="2"/>
  </r>
  <r>
    <x v="23"/>
    <m/>
    <m/>
    <s v=" "/>
    <m/>
    <x v="2"/>
  </r>
  <r>
    <x v="24"/>
    <m/>
    <m/>
    <s v=" "/>
    <m/>
    <x v="2"/>
  </r>
  <r>
    <x v="25"/>
    <m/>
    <m/>
    <s v=" "/>
    <m/>
    <x v="2"/>
  </r>
  <r>
    <x v="26"/>
    <m/>
    <m/>
    <s v=" "/>
    <m/>
    <x v="2"/>
  </r>
  <r>
    <x v="27"/>
    <m/>
    <m/>
    <s v=" "/>
    <m/>
    <x v="2"/>
  </r>
  <r>
    <x v="28"/>
    <m/>
    <m/>
    <s v=" "/>
    <m/>
    <x v="2"/>
  </r>
  <r>
    <x v="29"/>
    <m/>
    <m/>
    <s v=" "/>
    <m/>
    <x v="2"/>
  </r>
  <r>
    <x v="30"/>
    <m/>
    <m/>
    <s v=" "/>
    <m/>
    <x v="2"/>
  </r>
  <r>
    <x v="31"/>
    <m/>
    <m/>
    <s v=" "/>
    <m/>
    <x v="2"/>
  </r>
  <r>
    <x v="32"/>
    <m/>
    <m/>
    <s v=" "/>
    <m/>
    <x v="2"/>
  </r>
  <r>
    <x v="33"/>
    <m/>
    <m/>
    <s v=" "/>
    <m/>
    <x v="2"/>
  </r>
  <r>
    <x v="34"/>
    <m/>
    <m/>
    <s v=" "/>
    <m/>
    <x v="2"/>
  </r>
  <r>
    <x v="35"/>
    <m/>
    <m/>
    <s v=" "/>
    <m/>
    <x v="2"/>
  </r>
  <r>
    <x v="36"/>
    <m/>
    <m/>
    <s v=" "/>
    <m/>
    <x v="2"/>
  </r>
  <r>
    <x v="37"/>
    <m/>
    <m/>
    <s v=" "/>
    <m/>
    <x v="2"/>
  </r>
  <r>
    <x v="38"/>
    <m/>
    <m/>
    <s v=" "/>
    <m/>
    <x v="2"/>
  </r>
  <r>
    <x v="39"/>
    <m/>
    <m/>
    <s v=" "/>
    <m/>
    <x v="2"/>
  </r>
  <r>
    <x v="40"/>
    <m/>
    <m/>
    <s v=" "/>
    <m/>
    <x v="2"/>
  </r>
  <r>
    <x v="41"/>
    <m/>
    <m/>
    <s v=" "/>
    <m/>
    <x v="2"/>
  </r>
  <r>
    <x v="42"/>
    <m/>
    <m/>
    <s v=" "/>
    <m/>
    <x v="2"/>
  </r>
  <r>
    <x v="43"/>
    <m/>
    <m/>
    <s v=" "/>
    <m/>
    <x v="2"/>
  </r>
  <r>
    <x v="44"/>
    <m/>
    <m/>
    <s v=" "/>
    <m/>
    <x v="2"/>
  </r>
  <r>
    <x v="45"/>
    <m/>
    <m/>
    <s v=" "/>
    <m/>
    <x v="2"/>
  </r>
  <r>
    <x v="46"/>
    <m/>
    <m/>
    <s v=" "/>
    <m/>
    <x v="2"/>
  </r>
  <r>
    <x v="47"/>
    <m/>
    <m/>
    <s v=" "/>
    <m/>
    <x v="2"/>
  </r>
  <r>
    <x v="48"/>
    <m/>
    <m/>
    <s v=" "/>
    <m/>
    <x v="2"/>
  </r>
  <r>
    <x v="49"/>
    <m/>
    <m/>
    <s v=" "/>
    <m/>
    <x v="2"/>
  </r>
  <r>
    <x v="50"/>
    <m/>
    <m/>
    <s v=" "/>
    <m/>
    <x v="2"/>
  </r>
  <r>
    <x v="51"/>
    <m/>
    <m/>
    <s v=" "/>
    <m/>
    <x v="2"/>
  </r>
  <r>
    <x v="52"/>
    <m/>
    <m/>
    <s v=" "/>
    <m/>
    <x v="2"/>
  </r>
  <r>
    <x v="53"/>
    <m/>
    <m/>
    <s v=" "/>
    <m/>
    <x v="2"/>
  </r>
  <r>
    <x v="54"/>
    <m/>
    <m/>
    <s v=" "/>
    <m/>
    <x v="2"/>
  </r>
  <r>
    <x v="55"/>
    <m/>
    <m/>
    <s v=" "/>
    <m/>
    <x v="2"/>
  </r>
  <r>
    <x v="56"/>
    <m/>
    <m/>
    <s v=" "/>
    <m/>
    <x v="2"/>
  </r>
  <r>
    <x v="57"/>
    <m/>
    <m/>
    <s v=" "/>
    <m/>
    <x v="2"/>
  </r>
  <r>
    <x v="58"/>
    <m/>
    <m/>
    <s v=" "/>
    <m/>
    <x v="2"/>
  </r>
  <r>
    <x v="59"/>
    <m/>
    <m/>
    <s v=" "/>
    <m/>
    <x v="2"/>
  </r>
  <r>
    <x v="60"/>
    <m/>
    <m/>
    <s v=" "/>
    <m/>
    <x v="2"/>
  </r>
  <r>
    <x v="61"/>
    <m/>
    <m/>
    <s v=" "/>
    <m/>
    <x v="2"/>
  </r>
  <r>
    <x v="62"/>
    <m/>
    <m/>
    <s v=" "/>
    <m/>
    <x v="2"/>
  </r>
  <r>
    <x v="63"/>
    <m/>
    <m/>
    <s v=" "/>
    <m/>
    <x v="2"/>
  </r>
  <r>
    <x v="64"/>
    <m/>
    <m/>
    <s v=" "/>
    <m/>
    <x v="2"/>
  </r>
  <r>
    <x v="65"/>
    <m/>
    <m/>
    <s v=" "/>
    <m/>
    <x v="2"/>
  </r>
  <r>
    <x v="66"/>
    <m/>
    <m/>
    <s v=" "/>
    <m/>
    <x v="2"/>
  </r>
  <r>
    <x v="67"/>
    <m/>
    <m/>
    <s v=" "/>
    <m/>
    <x v="2"/>
  </r>
  <r>
    <x v="68"/>
    <m/>
    <m/>
    <s v=" "/>
    <m/>
    <x v="2"/>
  </r>
  <r>
    <x v="69"/>
    <m/>
    <m/>
    <s v=" "/>
    <m/>
    <x v="2"/>
  </r>
  <r>
    <x v="70"/>
    <m/>
    <m/>
    <s v=" "/>
    <m/>
    <x v="2"/>
  </r>
  <r>
    <x v="71"/>
    <m/>
    <m/>
    <s v=" "/>
    <m/>
    <x v="2"/>
  </r>
  <r>
    <x v="72"/>
    <m/>
    <m/>
    <s v=" "/>
    <m/>
    <x v="2"/>
  </r>
  <r>
    <x v="73"/>
    <m/>
    <m/>
    <s v=" "/>
    <m/>
    <x v="2"/>
  </r>
  <r>
    <x v="74"/>
    <m/>
    <m/>
    <s v=" "/>
    <m/>
    <x v="2"/>
  </r>
  <r>
    <x v="75"/>
    <m/>
    <m/>
    <s v=" "/>
    <m/>
    <x v="2"/>
  </r>
  <r>
    <x v="76"/>
    <m/>
    <m/>
    <s v=" "/>
    <m/>
    <x v="2"/>
  </r>
  <r>
    <x v="77"/>
    <m/>
    <m/>
    <s v=" "/>
    <m/>
    <x v="2"/>
  </r>
  <r>
    <x v="78"/>
    <m/>
    <m/>
    <s v=" "/>
    <m/>
    <x v="2"/>
  </r>
  <r>
    <x v="79"/>
    <m/>
    <m/>
    <s v=" "/>
    <m/>
    <x v="2"/>
  </r>
  <r>
    <x v="80"/>
    <m/>
    <m/>
    <s v=" "/>
    <m/>
    <x v="2"/>
  </r>
  <r>
    <x v="81"/>
    <m/>
    <m/>
    <s v=" "/>
    <m/>
    <x v="2"/>
  </r>
  <r>
    <x v="82"/>
    <m/>
    <m/>
    <s v=" "/>
    <m/>
    <x v="2"/>
  </r>
  <r>
    <x v="83"/>
    <m/>
    <m/>
    <s v=" "/>
    <m/>
    <x v="2"/>
  </r>
  <r>
    <x v="84"/>
    <m/>
    <m/>
    <s v=" "/>
    <m/>
    <x v="2"/>
  </r>
  <r>
    <x v="85"/>
    <m/>
    <m/>
    <s v=" "/>
    <m/>
    <x v="2"/>
  </r>
  <r>
    <x v="86"/>
    <m/>
    <m/>
    <s v=" "/>
    <m/>
    <x v="2"/>
  </r>
  <r>
    <x v="87"/>
    <m/>
    <m/>
    <s v=" "/>
    <m/>
    <x v="2"/>
  </r>
  <r>
    <x v="88"/>
    <m/>
    <m/>
    <s v=" "/>
    <m/>
    <x v="2"/>
  </r>
  <r>
    <x v="89"/>
    <m/>
    <m/>
    <s v=" "/>
    <m/>
    <x v="2"/>
  </r>
  <r>
    <x v="90"/>
    <m/>
    <m/>
    <s v=" "/>
    <m/>
    <x v="2"/>
  </r>
  <r>
    <x v="91"/>
    <m/>
    <m/>
    <s v=" "/>
    <m/>
    <x v="2"/>
  </r>
  <r>
    <x v="92"/>
    <m/>
    <m/>
    <s v=" "/>
    <m/>
    <x v="2"/>
  </r>
  <r>
    <x v="93"/>
    <m/>
    <m/>
    <s v=" "/>
    <m/>
    <x v="2"/>
  </r>
  <r>
    <x v="94"/>
    <m/>
    <m/>
    <s v=" "/>
    <m/>
    <x v="2"/>
  </r>
  <r>
    <x v="95"/>
    <m/>
    <m/>
    <s v=" "/>
    <m/>
    <x v="2"/>
  </r>
  <r>
    <x v="96"/>
    <m/>
    <m/>
    <s v=" "/>
    <m/>
    <x v="2"/>
  </r>
  <r>
    <x v="97"/>
    <m/>
    <m/>
    <s v=" "/>
    <m/>
    <x v="2"/>
  </r>
  <r>
    <x v="98"/>
    <m/>
    <m/>
    <s v=" "/>
    <m/>
    <x v="2"/>
  </r>
  <r>
    <x v="99"/>
    <m/>
    <m/>
    <s v=" "/>
    <m/>
    <x v="2"/>
  </r>
  <r>
    <x v="100"/>
    <m/>
    <m/>
    <s v=" "/>
    <m/>
    <x v="2"/>
  </r>
  <r>
    <x v="101"/>
    <m/>
    <m/>
    <s v=" "/>
    <m/>
    <x v="2"/>
  </r>
  <r>
    <x v="102"/>
    <m/>
    <m/>
    <s v=" "/>
    <m/>
    <x v="2"/>
  </r>
  <r>
    <x v="103"/>
    <m/>
    <m/>
    <s v=" "/>
    <m/>
    <x v="2"/>
  </r>
  <r>
    <x v="104"/>
    <m/>
    <m/>
    <s v=" "/>
    <m/>
    <x v="2"/>
  </r>
  <r>
    <x v="105"/>
    <m/>
    <m/>
    <s v=" "/>
    <m/>
    <x v="2"/>
  </r>
  <r>
    <x v="106"/>
    <m/>
    <m/>
    <s v=" "/>
    <m/>
    <x v="2"/>
  </r>
  <r>
    <x v="107"/>
    <m/>
    <m/>
    <s v=" "/>
    <m/>
    <x v="2"/>
  </r>
  <r>
    <x v="108"/>
    <m/>
    <m/>
    <s v=" "/>
    <m/>
    <x v="2"/>
  </r>
  <r>
    <x v="109"/>
    <m/>
    <m/>
    <s v=" "/>
    <m/>
    <x v="2"/>
  </r>
  <r>
    <x v="110"/>
    <m/>
    <m/>
    <s v=" "/>
    <m/>
    <x v="2"/>
  </r>
  <r>
    <x v="111"/>
    <m/>
    <m/>
    <s v=" "/>
    <m/>
    <x v="2"/>
  </r>
  <r>
    <x v="112"/>
    <m/>
    <m/>
    <s v=" "/>
    <m/>
    <x v="2"/>
  </r>
  <r>
    <x v="113"/>
    <m/>
    <m/>
    <s v=" "/>
    <m/>
    <x v="2"/>
  </r>
  <r>
    <x v="114"/>
    <m/>
    <m/>
    <s v=" "/>
    <m/>
    <x v="2"/>
  </r>
  <r>
    <x v="115"/>
    <m/>
    <m/>
    <s v=" "/>
    <m/>
    <x v="2"/>
  </r>
  <r>
    <x v="116"/>
    <m/>
    <m/>
    <s v=" "/>
    <m/>
    <x v="2"/>
  </r>
  <r>
    <x v="117"/>
    <m/>
    <m/>
    <s v=" "/>
    <m/>
    <x v="2"/>
  </r>
  <r>
    <x v="118"/>
    <m/>
    <m/>
    <s v=" "/>
    <m/>
    <x v="2"/>
  </r>
  <r>
    <x v="119"/>
    <m/>
    <m/>
    <s v=" "/>
    <m/>
    <x v="2"/>
  </r>
  <r>
    <x v="120"/>
    <m/>
    <m/>
    <s v=" "/>
    <m/>
    <x v="2"/>
  </r>
  <r>
    <x v="121"/>
    <m/>
    <m/>
    <s v=" "/>
    <m/>
    <x v="2"/>
  </r>
  <r>
    <x v="122"/>
    <m/>
    <m/>
    <s v=" "/>
    <m/>
    <x v="2"/>
  </r>
  <r>
    <x v="123"/>
    <m/>
    <m/>
    <s v=" "/>
    <m/>
    <x v="2"/>
  </r>
  <r>
    <x v="124"/>
    <m/>
    <m/>
    <s v=" "/>
    <m/>
    <x v="2"/>
  </r>
  <r>
    <x v="125"/>
    <m/>
    <m/>
    <s v=" "/>
    <m/>
    <x v="2"/>
  </r>
  <r>
    <x v="126"/>
    <m/>
    <m/>
    <s v=" "/>
    <m/>
    <x v="2"/>
  </r>
  <r>
    <x v="127"/>
    <m/>
    <m/>
    <s v=" "/>
    <m/>
    <x v="2"/>
  </r>
  <r>
    <x v="128"/>
    <m/>
    <m/>
    <s v=" "/>
    <m/>
    <x v="2"/>
  </r>
  <r>
    <x v="129"/>
    <m/>
    <m/>
    <s v=" "/>
    <m/>
    <x v="2"/>
  </r>
  <r>
    <x v="130"/>
    <m/>
    <m/>
    <s v=" "/>
    <m/>
    <x v="2"/>
  </r>
  <r>
    <x v="131"/>
    <m/>
    <m/>
    <s v=" "/>
    <m/>
    <x v="2"/>
  </r>
  <r>
    <x v="132"/>
    <m/>
    <m/>
    <s v=" "/>
    <m/>
    <x v="2"/>
  </r>
  <r>
    <x v="133"/>
    <m/>
    <m/>
    <s v=" "/>
    <m/>
    <x v="2"/>
  </r>
  <r>
    <x v="134"/>
    <m/>
    <m/>
    <s v=" "/>
    <m/>
    <x v="2"/>
  </r>
  <r>
    <x v="135"/>
    <m/>
    <m/>
    <s v=" "/>
    <m/>
    <x v="2"/>
  </r>
  <r>
    <x v="136"/>
    <m/>
    <m/>
    <s v=" "/>
    <m/>
    <x v="2"/>
  </r>
  <r>
    <x v="137"/>
    <m/>
    <m/>
    <s v=" "/>
    <m/>
    <x v="2"/>
  </r>
  <r>
    <x v="138"/>
    <m/>
    <m/>
    <s v=" "/>
    <m/>
    <x v="2"/>
  </r>
  <r>
    <x v="139"/>
    <m/>
    <m/>
    <s v=" "/>
    <m/>
    <x v="2"/>
  </r>
  <r>
    <x v="140"/>
    <m/>
    <m/>
    <s v=" "/>
    <m/>
    <x v="2"/>
  </r>
  <r>
    <x v="141"/>
    <m/>
    <m/>
    <s v=" "/>
    <m/>
    <x v="2"/>
  </r>
  <r>
    <x v="142"/>
    <m/>
    <m/>
    <s v=" "/>
    <m/>
    <x v="2"/>
  </r>
  <r>
    <x v="143"/>
    <m/>
    <m/>
    <s v=" "/>
    <m/>
    <x v="2"/>
  </r>
  <r>
    <x v="144"/>
    <m/>
    <m/>
    <s v=" "/>
    <m/>
    <x v="2"/>
  </r>
  <r>
    <x v="145"/>
    <m/>
    <m/>
    <s v=" "/>
    <m/>
    <x v="2"/>
  </r>
  <r>
    <x v="146"/>
    <m/>
    <m/>
    <s v=" "/>
    <m/>
    <x v="2"/>
  </r>
  <r>
    <x v="147"/>
    <m/>
    <m/>
    <s v=" "/>
    <m/>
    <x v="2"/>
  </r>
  <r>
    <x v="148"/>
    <m/>
    <m/>
    <s v=" "/>
    <m/>
    <x v="2"/>
  </r>
  <r>
    <x v="149"/>
    <m/>
    <m/>
    <s v=" "/>
    <m/>
    <x v="2"/>
  </r>
  <r>
    <x v="150"/>
    <m/>
    <m/>
    <s v=" "/>
    <m/>
    <x v="2"/>
  </r>
  <r>
    <x v="151"/>
    <m/>
    <m/>
    <s v=" "/>
    <m/>
    <x v="2"/>
  </r>
  <r>
    <x v="152"/>
    <m/>
    <m/>
    <s v=" "/>
    <m/>
    <x v="2"/>
  </r>
  <r>
    <x v="153"/>
    <m/>
    <m/>
    <s v=" "/>
    <m/>
    <x v="2"/>
  </r>
  <r>
    <x v="154"/>
    <m/>
    <m/>
    <s v=" "/>
    <m/>
    <x v="2"/>
  </r>
  <r>
    <x v="155"/>
    <m/>
    <m/>
    <s v=" "/>
    <m/>
    <x v="2"/>
  </r>
  <r>
    <x v="156"/>
    <m/>
    <m/>
    <s v=" "/>
    <m/>
    <x v="2"/>
  </r>
  <r>
    <x v="157"/>
    <m/>
    <m/>
    <s v=" "/>
    <m/>
    <x v="2"/>
  </r>
  <r>
    <x v="158"/>
    <m/>
    <m/>
    <s v=" "/>
    <m/>
    <x v="2"/>
  </r>
  <r>
    <x v="159"/>
    <m/>
    <m/>
    <s v=" "/>
    <m/>
    <x v="2"/>
  </r>
  <r>
    <x v="160"/>
    <m/>
    <m/>
    <s v=" "/>
    <m/>
    <x v="2"/>
  </r>
  <r>
    <x v="161"/>
    <m/>
    <m/>
    <s v=" "/>
    <m/>
    <x v="2"/>
  </r>
  <r>
    <x v="162"/>
    <m/>
    <m/>
    <s v=" "/>
    <m/>
    <x v="2"/>
  </r>
  <r>
    <x v="163"/>
    <m/>
    <m/>
    <s v=" "/>
    <m/>
    <x v="2"/>
  </r>
  <r>
    <x v="164"/>
    <m/>
    <m/>
    <s v=" "/>
    <m/>
    <x v="2"/>
  </r>
  <r>
    <x v="165"/>
    <m/>
    <m/>
    <s v=" "/>
    <m/>
    <x v="2"/>
  </r>
  <r>
    <x v="166"/>
    <m/>
    <m/>
    <s v=" "/>
    <m/>
    <x v="2"/>
  </r>
  <r>
    <x v="167"/>
    <m/>
    <m/>
    <s v=" "/>
    <m/>
    <x v="2"/>
  </r>
  <r>
    <x v="168"/>
    <m/>
    <m/>
    <s v=" "/>
    <m/>
    <x v="2"/>
  </r>
  <r>
    <x v="169"/>
    <m/>
    <m/>
    <s v=" "/>
    <m/>
    <x v="2"/>
  </r>
  <r>
    <x v="170"/>
    <m/>
    <m/>
    <s v=" "/>
    <m/>
    <x v="2"/>
  </r>
  <r>
    <x v="171"/>
    <m/>
    <m/>
    <s v=" "/>
    <m/>
    <x v="2"/>
  </r>
  <r>
    <x v="172"/>
    <m/>
    <m/>
    <s v=" "/>
    <m/>
    <x v="2"/>
  </r>
  <r>
    <x v="173"/>
    <m/>
    <m/>
    <s v=" "/>
    <m/>
    <x v="2"/>
  </r>
  <r>
    <x v="174"/>
    <m/>
    <m/>
    <s v=" "/>
    <m/>
    <x v="2"/>
  </r>
  <r>
    <x v="175"/>
    <m/>
    <m/>
    <s v=" "/>
    <m/>
    <x v="2"/>
  </r>
  <r>
    <x v="176"/>
    <m/>
    <m/>
    <s v=" "/>
    <m/>
    <x v="2"/>
  </r>
  <r>
    <x v="177"/>
    <m/>
    <m/>
    <s v=" "/>
    <m/>
    <x v="2"/>
  </r>
  <r>
    <x v="178"/>
    <m/>
    <m/>
    <s v=" "/>
    <m/>
    <x v="2"/>
  </r>
  <r>
    <x v="179"/>
    <m/>
    <m/>
    <s v=" "/>
    <m/>
    <x v="2"/>
  </r>
  <r>
    <x v="180"/>
    <m/>
    <m/>
    <s v=" "/>
    <m/>
    <x v="2"/>
  </r>
  <r>
    <x v="181"/>
    <m/>
    <m/>
    <s v=" "/>
    <m/>
    <x v="2"/>
  </r>
  <r>
    <x v="182"/>
    <m/>
    <m/>
    <s v=" "/>
    <m/>
    <x v="2"/>
  </r>
  <r>
    <x v="183"/>
    <m/>
    <m/>
    <s v=" "/>
    <m/>
    <x v="2"/>
  </r>
  <r>
    <x v="184"/>
    <m/>
    <m/>
    <s v=" "/>
    <m/>
    <x v="2"/>
  </r>
  <r>
    <x v="185"/>
    <m/>
    <m/>
    <s v=" "/>
    <m/>
    <x v="2"/>
  </r>
  <r>
    <x v="186"/>
    <m/>
    <m/>
    <s v=" "/>
    <m/>
    <x v="2"/>
  </r>
  <r>
    <x v="187"/>
    <m/>
    <m/>
    <s v=" "/>
    <m/>
    <x v="2"/>
  </r>
  <r>
    <x v="188"/>
    <m/>
    <m/>
    <s v=" "/>
    <m/>
    <x v="2"/>
  </r>
  <r>
    <x v="189"/>
    <m/>
    <m/>
    <s v=" "/>
    <m/>
    <x v="2"/>
  </r>
  <r>
    <x v="190"/>
    <m/>
    <m/>
    <s v=" "/>
    <m/>
    <x v="2"/>
  </r>
  <r>
    <x v="191"/>
    <m/>
    <m/>
    <s v=" "/>
    <m/>
    <x v="2"/>
  </r>
  <r>
    <x v="192"/>
    <m/>
    <m/>
    <s v=" "/>
    <m/>
    <x v="2"/>
  </r>
  <r>
    <x v="193"/>
    <m/>
    <m/>
    <s v=" "/>
    <m/>
    <x v="2"/>
  </r>
  <r>
    <x v="194"/>
    <m/>
    <m/>
    <s v=" "/>
    <m/>
    <x v="2"/>
  </r>
  <r>
    <x v="195"/>
    <m/>
    <m/>
    <s v=" "/>
    <m/>
    <x v="2"/>
  </r>
  <r>
    <x v="196"/>
    <m/>
    <m/>
    <s v=" "/>
    <m/>
    <x v="2"/>
  </r>
  <r>
    <x v="197"/>
    <m/>
    <m/>
    <s v=" "/>
    <m/>
    <x v="2"/>
  </r>
  <r>
    <x v="198"/>
    <m/>
    <m/>
    <s v=" "/>
    <m/>
    <x v="2"/>
  </r>
  <r>
    <x v="199"/>
    <m/>
    <m/>
    <s v=" "/>
    <m/>
    <x v="2"/>
  </r>
  <r>
    <x v="200"/>
    <m/>
    <m/>
    <s v=" "/>
    <m/>
    <x v="2"/>
  </r>
  <r>
    <x v="201"/>
    <m/>
    <m/>
    <s v=" "/>
    <m/>
    <x v="2"/>
  </r>
  <r>
    <x v="202"/>
    <m/>
    <m/>
    <s v=" "/>
    <m/>
    <x v="2"/>
  </r>
  <r>
    <x v="203"/>
    <m/>
    <m/>
    <s v=" "/>
    <m/>
    <x v="2"/>
  </r>
  <r>
    <x v="204"/>
    <m/>
    <m/>
    <s v=" "/>
    <m/>
    <x v="2"/>
  </r>
  <r>
    <x v="205"/>
    <m/>
    <m/>
    <s v=" "/>
    <m/>
    <x v="2"/>
  </r>
  <r>
    <x v="206"/>
    <m/>
    <m/>
    <s v=" "/>
    <m/>
    <x v="2"/>
  </r>
  <r>
    <x v="207"/>
    <m/>
    <m/>
    <s v=" "/>
    <m/>
    <x v="2"/>
  </r>
  <r>
    <x v="208"/>
    <m/>
    <m/>
    <s v=" "/>
    <m/>
    <x v="2"/>
  </r>
  <r>
    <x v="209"/>
    <m/>
    <m/>
    <s v=" "/>
    <m/>
    <x v="2"/>
  </r>
  <r>
    <x v="210"/>
    <m/>
    <m/>
    <s v=" "/>
    <m/>
    <x v="2"/>
  </r>
  <r>
    <x v="211"/>
    <m/>
    <m/>
    <s v=" "/>
    <m/>
    <x v="2"/>
  </r>
  <r>
    <x v="212"/>
    <m/>
    <m/>
    <s v=" "/>
    <m/>
    <x v="2"/>
  </r>
  <r>
    <x v="213"/>
    <m/>
    <m/>
    <s v=" "/>
    <m/>
    <x v="2"/>
  </r>
  <r>
    <x v="214"/>
    <m/>
    <m/>
    <s v=" "/>
    <m/>
    <x v="2"/>
  </r>
  <r>
    <x v="215"/>
    <m/>
    <m/>
    <s v=" "/>
    <m/>
    <x v="2"/>
  </r>
  <r>
    <x v="216"/>
    <m/>
    <m/>
    <s v=" "/>
    <m/>
    <x v="2"/>
  </r>
  <r>
    <x v="217"/>
    <m/>
    <m/>
    <s v=" "/>
    <m/>
    <x v="2"/>
  </r>
  <r>
    <x v="218"/>
    <m/>
    <m/>
    <s v=" "/>
    <m/>
    <x v="2"/>
  </r>
  <r>
    <x v="219"/>
    <m/>
    <m/>
    <s v=" "/>
    <m/>
    <x v="2"/>
  </r>
  <r>
    <x v="220"/>
    <m/>
    <m/>
    <s v=" "/>
    <m/>
    <x v="2"/>
  </r>
  <r>
    <x v="221"/>
    <m/>
    <m/>
    <s v=" "/>
    <m/>
    <x v="2"/>
  </r>
  <r>
    <x v="222"/>
    <m/>
    <m/>
    <s v=" "/>
    <m/>
    <x v="2"/>
  </r>
  <r>
    <x v="223"/>
    <m/>
    <m/>
    <s v=" "/>
    <m/>
    <x v="2"/>
  </r>
  <r>
    <x v="224"/>
    <m/>
    <m/>
    <s v=" "/>
    <m/>
    <x v="2"/>
  </r>
  <r>
    <x v="225"/>
    <m/>
    <m/>
    <s v=" "/>
    <m/>
    <x v="2"/>
  </r>
  <r>
    <x v="226"/>
    <m/>
    <m/>
    <s v=" "/>
    <m/>
    <x v="2"/>
  </r>
  <r>
    <x v="227"/>
    <m/>
    <m/>
    <s v=" "/>
    <m/>
    <x v="2"/>
  </r>
  <r>
    <x v="228"/>
    <m/>
    <m/>
    <s v=" "/>
    <m/>
    <x v="2"/>
  </r>
  <r>
    <x v="229"/>
    <m/>
    <m/>
    <s v=" "/>
    <m/>
    <x v="2"/>
  </r>
  <r>
    <x v="230"/>
    <m/>
    <m/>
    <s v=" "/>
    <m/>
    <x v="2"/>
  </r>
  <r>
    <x v="231"/>
    <m/>
    <m/>
    <s v=" "/>
    <m/>
    <x v="2"/>
  </r>
  <r>
    <x v="232"/>
    <m/>
    <m/>
    <s v=" "/>
    <m/>
    <x v="2"/>
  </r>
  <r>
    <x v="233"/>
    <m/>
    <m/>
    <s v=" "/>
    <m/>
    <x v="2"/>
  </r>
  <r>
    <x v="234"/>
    <m/>
    <m/>
    <s v=" "/>
    <m/>
    <x v="2"/>
  </r>
  <r>
    <x v="235"/>
    <m/>
    <m/>
    <s v=" "/>
    <m/>
    <x v="2"/>
  </r>
  <r>
    <x v="236"/>
    <m/>
    <m/>
    <s v=" "/>
    <m/>
    <x v="2"/>
  </r>
  <r>
    <x v="237"/>
    <m/>
    <m/>
    <s v=" "/>
    <m/>
    <x v="2"/>
  </r>
  <r>
    <x v="238"/>
    <m/>
    <m/>
    <s v=" "/>
    <m/>
    <x v="2"/>
  </r>
  <r>
    <x v="239"/>
    <m/>
    <m/>
    <s v=" "/>
    <m/>
    <x v="2"/>
  </r>
  <r>
    <x v="240"/>
    <m/>
    <m/>
    <s v=" "/>
    <m/>
    <x v="2"/>
  </r>
  <r>
    <x v="241"/>
    <m/>
    <m/>
    <s v=" "/>
    <m/>
    <x v="2"/>
  </r>
  <r>
    <x v="242"/>
    <m/>
    <m/>
    <s v=" "/>
    <m/>
    <x v="2"/>
  </r>
  <r>
    <x v="243"/>
    <m/>
    <m/>
    <s v=" "/>
    <m/>
    <x v="2"/>
  </r>
  <r>
    <x v="244"/>
    <m/>
    <m/>
    <s v=" "/>
    <m/>
    <x v="2"/>
  </r>
  <r>
    <x v="245"/>
    <m/>
    <m/>
    <s v=" "/>
    <m/>
    <x v="2"/>
  </r>
  <r>
    <x v="246"/>
    <m/>
    <m/>
    <s v=" "/>
    <m/>
    <x v="2"/>
  </r>
  <r>
    <x v="247"/>
    <m/>
    <m/>
    <s v=" "/>
    <m/>
    <x v="2"/>
  </r>
  <r>
    <x v="248"/>
    <m/>
    <m/>
    <s v=" "/>
    <m/>
    <x v="2"/>
  </r>
  <r>
    <x v="249"/>
    <m/>
    <m/>
    <s v=" "/>
    <m/>
    <x v="2"/>
  </r>
  <r>
    <x v="250"/>
    <m/>
    <m/>
    <s v=" "/>
    <m/>
    <x v="2"/>
  </r>
  <r>
    <x v="251"/>
    <m/>
    <m/>
    <s v=" "/>
    <m/>
    <x v="2"/>
  </r>
  <r>
    <x v="252"/>
    <m/>
    <m/>
    <s v=" "/>
    <m/>
    <x v="2"/>
  </r>
  <r>
    <x v="253"/>
    <m/>
    <m/>
    <s v=" "/>
    <m/>
    <x v="2"/>
  </r>
  <r>
    <x v="254"/>
    <m/>
    <m/>
    <s v=" "/>
    <m/>
    <x v="2"/>
  </r>
  <r>
    <x v="255"/>
    <m/>
    <m/>
    <s v=" "/>
    <m/>
    <x v="2"/>
  </r>
  <r>
    <x v="256"/>
    <m/>
    <m/>
    <s v=" "/>
    <m/>
    <x v="2"/>
  </r>
  <r>
    <x v="257"/>
    <m/>
    <m/>
    <s v=" "/>
    <m/>
    <x v="2"/>
  </r>
  <r>
    <x v="258"/>
    <m/>
    <m/>
    <s v=" "/>
    <m/>
    <x v="2"/>
  </r>
  <r>
    <x v="259"/>
    <m/>
    <m/>
    <s v=" "/>
    <m/>
    <x v="2"/>
  </r>
  <r>
    <x v="260"/>
    <m/>
    <m/>
    <s v=" "/>
    <m/>
    <x v="2"/>
  </r>
  <r>
    <x v="261"/>
    <m/>
    <m/>
    <s v=" "/>
    <m/>
    <x v="2"/>
  </r>
  <r>
    <x v="262"/>
    <m/>
    <m/>
    <s v=" "/>
    <m/>
    <x v="2"/>
  </r>
  <r>
    <x v="263"/>
    <m/>
    <m/>
    <s v=" "/>
    <m/>
    <x v="2"/>
  </r>
  <r>
    <x v="264"/>
    <m/>
    <m/>
    <s v=" "/>
    <m/>
    <x v="2"/>
  </r>
  <r>
    <x v="265"/>
    <m/>
    <m/>
    <s v=" "/>
    <m/>
    <x v="2"/>
  </r>
  <r>
    <x v="266"/>
    <m/>
    <m/>
    <s v=" "/>
    <m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x v="0"/>
    <x v="0"/>
    <n v="39.9"/>
  </r>
  <r>
    <x v="0"/>
    <x v="1"/>
    <x v="1"/>
    <n v="0.01"/>
  </r>
  <r>
    <x v="0"/>
    <x v="1"/>
    <x v="2"/>
    <n v="0.20100000000000001"/>
  </r>
  <r>
    <x v="0"/>
    <x v="1"/>
    <x v="3"/>
    <n v="1E-3"/>
  </r>
  <r>
    <x v="1"/>
    <x v="0"/>
    <x v="0"/>
    <n v="3.65"/>
  </r>
  <r>
    <x v="1"/>
    <x v="1"/>
    <x v="1"/>
    <n v="1.44E-2"/>
  </r>
  <r>
    <x v="1"/>
    <x v="1"/>
    <x v="2"/>
    <n v="0.14899999999999999"/>
  </r>
  <r>
    <x v="1"/>
    <x v="1"/>
    <x v="3"/>
    <n v="0.10299999999999999"/>
  </r>
  <r>
    <x v="2"/>
    <x v="0"/>
    <x v="0"/>
    <n v="7.41"/>
  </r>
  <r>
    <x v="2"/>
    <x v="1"/>
    <x v="1"/>
    <n v="1.5E-3"/>
  </r>
  <r>
    <x v="2"/>
    <x v="1"/>
    <x v="2"/>
    <n v="3.1700000000000001E-3"/>
  </r>
  <r>
    <x v="2"/>
    <x v="1"/>
    <x v="3"/>
    <n v="5.0000000000000001E-3"/>
  </r>
  <r>
    <x v="3"/>
    <x v="0"/>
    <x v="0"/>
    <n v="17.2"/>
  </r>
  <r>
    <x v="3"/>
    <x v="1"/>
    <x v="1"/>
    <n v="0"/>
  </r>
  <r>
    <x v="3"/>
    <x v="1"/>
    <x v="2"/>
    <n v="0.105"/>
  </r>
  <r>
    <x v="3"/>
    <x v="1"/>
    <x v="3"/>
    <n v="0.105"/>
  </r>
  <r>
    <x v="4"/>
    <x v="0"/>
    <x v="0"/>
    <n v="5.59"/>
  </r>
  <r>
    <x v="4"/>
    <x v="1"/>
    <x v="1"/>
    <n v="0"/>
  </r>
  <r>
    <x v="4"/>
    <x v="1"/>
    <x v="2"/>
    <n v="0"/>
  </r>
  <r>
    <x v="4"/>
    <x v="1"/>
    <x v="3"/>
    <n v="0"/>
  </r>
  <r>
    <x v="5"/>
    <x v="0"/>
    <x v="0"/>
    <n v="5.59"/>
  </r>
  <r>
    <x v="5"/>
    <x v="1"/>
    <x v="1"/>
    <n v="0"/>
  </r>
  <r>
    <x v="5"/>
    <x v="1"/>
    <x v="2"/>
    <n v="0"/>
  </r>
  <r>
    <x v="5"/>
    <x v="1"/>
    <x v="3"/>
    <n v="0"/>
  </r>
  <r>
    <x v="6"/>
    <x v="2"/>
    <x v="4"/>
    <n v="64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6"/>
  </r>
  <r>
    <x v="1"/>
    <x v="7"/>
  </r>
  <r>
    <x v="1"/>
    <x v="8"/>
  </r>
  <r>
    <x v="1"/>
    <x v="9"/>
  </r>
  <r>
    <x v="1"/>
    <x v="10"/>
  </r>
  <r>
    <x v="1"/>
    <x v="11"/>
  </r>
  <r>
    <x v="1"/>
    <x v="12"/>
  </r>
  <r>
    <x v="1"/>
    <x v="13"/>
  </r>
  <r>
    <x v="0"/>
    <x v="14"/>
  </r>
  <r>
    <x v="0"/>
    <x v="15"/>
  </r>
  <r>
    <x v="0"/>
    <x v="16"/>
  </r>
  <r>
    <x v="1"/>
    <x v="17"/>
  </r>
  <r>
    <x v="1"/>
    <x v="18"/>
  </r>
  <r>
    <x v="1"/>
    <x v="19"/>
  </r>
  <r>
    <x v="1"/>
    <x v="20"/>
  </r>
  <r>
    <x v="1"/>
    <x v="21"/>
  </r>
  <r>
    <x v="1"/>
    <x v="22"/>
  </r>
  <r>
    <x v="0"/>
    <x v="23"/>
  </r>
  <r>
    <x v="0"/>
    <x v="24"/>
  </r>
  <r>
    <x v="0"/>
    <x v="25"/>
  </r>
  <r>
    <x v="0"/>
    <x v="26"/>
  </r>
  <r>
    <x v="0"/>
    <x v="27"/>
  </r>
  <r>
    <x v="0"/>
    <x v="28"/>
  </r>
  <r>
    <x v="0"/>
    <x v="29"/>
  </r>
  <r>
    <x v="0"/>
    <x v="30"/>
  </r>
  <r>
    <x v="0"/>
    <x v="31"/>
  </r>
  <r>
    <x v="0"/>
    <x v="32"/>
  </r>
  <r>
    <x v="0"/>
    <x v="33"/>
  </r>
  <r>
    <x v="0"/>
    <x v="34"/>
  </r>
  <r>
    <x v="0"/>
    <x v="35"/>
  </r>
  <r>
    <x v="0"/>
    <x v="36"/>
  </r>
  <r>
    <x v="0"/>
    <x v="37"/>
  </r>
  <r>
    <x v="0"/>
    <x v="38"/>
  </r>
  <r>
    <x v="0"/>
    <x v="39"/>
  </r>
  <r>
    <x v="0"/>
    <x v="40"/>
  </r>
  <r>
    <x v="0"/>
    <x v="41"/>
  </r>
  <r>
    <x v="0"/>
    <x v="42"/>
  </r>
  <r>
    <x v="0"/>
    <x v="43"/>
  </r>
  <r>
    <x v="0"/>
    <x v="44"/>
  </r>
  <r>
    <x v="0"/>
    <x v="45"/>
  </r>
  <r>
    <x v="0"/>
    <x v="46"/>
  </r>
  <r>
    <x v="0"/>
    <x v="47"/>
  </r>
  <r>
    <x v="0"/>
    <x v="48"/>
  </r>
  <r>
    <x v="0"/>
    <x v="49"/>
  </r>
  <r>
    <x v="0"/>
    <x v="50"/>
  </r>
  <r>
    <x v="1"/>
    <x v="51"/>
  </r>
  <r>
    <x v="1"/>
    <x v="52"/>
  </r>
  <r>
    <x v="1"/>
    <x v="53"/>
  </r>
  <r>
    <x v="1"/>
    <x v="54"/>
  </r>
  <r>
    <x v="0"/>
    <x v="55"/>
  </r>
  <r>
    <x v="0"/>
    <x v="56"/>
  </r>
  <r>
    <x v="0"/>
    <x v="57"/>
  </r>
  <r>
    <x v="0"/>
    <x v="58"/>
  </r>
  <r>
    <x v="0"/>
    <x v="59"/>
  </r>
  <r>
    <x v="0"/>
    <x v="60"/>
  </r>
  <r>
    <x v="0"/>
    <x v="61"/>
  </r>
  <r>
    <x v="0"/>
    <x v="62"/>
  </r>
  <r>
    <x v="0"/>
    <x v="63"/>
  </r>
  <r>
    <x v="0"/>
    <x v="64"/>
  </r>
  <r>
    <x v="0"/>
    <x v="65"/>
  </r>
  <r>
    <x v="0"/>
    <x v="66"/>
  </r>
  <r>
    <x v="1"/>
    <x v="67"/>
  </r>
  <r>
    <x v="1"/>
    <x v="68"/>
  </r>
  <r>
    <x v="0"/>
    <x v="69"/>
  </r>
  <r>
    <x v="0"/>
    <x v="70"/>
  </r>
  <r>
    <x v="0"/>
    <x v="71"/>
  </r>
  <r>
    <x v="0"/>
    <x v="72"/>
  </r>
  <r>
    <x v="0"/>
    <x v="73"/>
  </r>
  <r>
    <x v="0"/>
    <x v="74"/>
  </r>
  <r>
    <x v="0"/>
    <x v="75"/>
  </r>
  <r>
    <x v="1"/>
    <x v="76"/>
  </r>
  <r>
    <x v="1"/>
    <x v="77"/>
  </r>
  <r>
    <x v="0"/>
    <x v="78"/>
  </r>
  <r>
    <x v="0"/>
    <x v="79"/>
  </r>
  <r>
    <x v="0"/>
    <x v="80"/>
  </r>
  <r>
    <x v="0"/>
    <x v="81"/>
  </r>
  <r>
    <x v="0"/>
    <x v="82"/>
  </r>
  <r>
    <x v="0"/>
    <x v="83"/>
  </r>
  <r>
    <x v="0"/>
    <x v="84"/>
  </r>
  <r>
    <x v="0"/>
    <x v="85"/>
  </r>
  <r>
    <x v="0"/>
    <x v="86"/>
  </r>
  <r>
    <x v="0"/>
    <x v="87"/>
  </r>
  <r>
    <x v="1"/>
    <x v="88"/>
  </r>
  <r>
    <x v="0"/>
    <x v="89"/>
  </r>
  <r>
    <x v="0"/>
    <x v="90"/>
  </r>
  <r>
    <x v="0"/>
    <x v="91"/>
  </r>
  <r>
    <x v="1"/>
    <x v="92"/>
  </r>
  <r>
    <x v="1"/>
    <x v="93"/>
  </r>
  <r>
    <x v="0"/>
    <x v="94"/>
  </r>
  <r>
    <x v="0"/>
    <x v="95"/>
  </r>
  <r>
    <x v="0"/>
    <x v="96"/>
  </r>
  <r>
    <x v="0"/>
    <x v="97"/>
  </r>
  <r>
    <x v="0"/>
    <x v="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Tabela dinâ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P10:R18" firstHeaderRow="1" firstDataRow="2" firstDataCol="1" rowPageCount="1" colPageCount="1"/>
  <pivotFields count="4">
    <pivotField axis="axisRow" subtotalTop="0" showAll="0" sortType="descending">
      <items count="8">
        <item x="0"/>
        <item x="1"/>
        <item x="2"/>
        <item x="4"/>
        <item x="5"/>
        <item x="3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ubtotalTop="0" showAll="0">
      <items count="4">
        <item x="0"/>
        <item x="1"/>
        <item x="2"/>
        <item t="default"/>
      </items>
    </pivotField>
    <pivotField axis="axisCol" numFmtId="14" subtotalTop="0" showAll="0">
      <items count="6">
        <item x="0"/>
        <item x="1"/>
        <item x="2"/>
        <item x="3"/>
        <item x="4"/>
        <item t="default"/>
      </items>
    </pivotField>
    <pivotField dataField="1" numFmtId="165" subtotalTop="0" showAll="0"/>
  </pivotFields>
  <rowFields count="1">
    <field x="0"/>
  </rowFields>
  <rowItems count="7">
    <i>
      <x/>
    </i>
    <i>
      <x v="5"/>
    </i>
    <i>
      <x v="2"/>
    </i>
    <i>
      <x v="3"/>
    </i>
    <i>
      <x v="4"/>
    </i>
    <i>
      <x v="1"/>
    </i>
    <i t="grand">
      <x/>
    </i>
  </rowItems>
  <colFields count="1">
    <field x="2"/>
  </colFields>
  <colItems count="2">
    <i>
      <x/>
    </i>
    <i t="grand">
      <x/>
    </i>
  </colItems>
  <pageFields count="1">
    <pageField fld="1" item="0" hier="-1"/>
  </pageFields>
  <dataFields count="1">
    <dataField name="Soma de GB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P2:V7" firstHeaderRow="1" firstDataRow="2" firstDataCol="1"/>
  <pivotFields count="4">
    <pivotField subtotalTop="0" showAll="0"/>
    <pivotField axis="axisRow" subtotalTop="0" showAll="0">
      <items count="4">
        <item x="0"/>
        <item x="1"/>
        <item x="2"/>
        <item t="default"/>
      </items>
    </pivotField>
    <pivotField axis="axisCol" numFmtId="14" subtotalTop="0" showAll="0">
      <items count="6">
        <item x="0"/>
        <item x="1"/>
        <item x="2"/>
        <item x="3"/>
        <item x="4"/>
        <item t="default"/>
      </items>
    </pivotField>
    <pivotField dataField="1" numFmtId="165" subtotalTop="0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oma de GB" fld="3" baseField="0" baseItem="0"/>
  </dataFields>
  <formats count="1">
    <format dxfId="77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ED9B6A-D44D-420F-8B1D-51D211E63DB8}" name="Tabela dinâ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C13:G23" firstHeaderRow="0" firstDataRow="1" firstDataCol="1" rowPageCount="1" colPageCount="1"/>
  <pivotFields count="7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dataField="1" showAll="0"/>
    <pivotField dataField="1" showAll="0"/>
    <pivotField dataField="1" showAll="0"/>
    <pivotField axis="axisPage" showAll="0">
      <items count="4">
        <item x="0"/>
        <item x="2"/>
        <item x="1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6"/>
    <field x="0"/>
  </rowFields>
  <row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5" item="0" hier="-1"/>
  </pageFields>
  <dataFields count="4">
    <dataField name="Soma de Armazenamento total Antes " fld="1" baseField="0" baseItem="0"/>
    <dataField name="Soma de Backup" fld="2" baseField="0" baseItem="0"/>
    <dataField name="Soma de Tempo" fld="4" baseField="6" baseItem="4"/>
    <dataField name="Mín. de Armazenamento total disponivel" fld="3" subtotal="min" baseField="6" baseItem="0"/>
  </dataFields>
  <formats count="12">
    <format dxfId="7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3">
      <pivotArea collapsedLevelsAreSubtotals="1" fieldPosition="0">
        <references count="2">
          <reference field="4294967294" count="1" selected="0">
            <x v="0"/>
          </reference>
          <reference field="6" count="1">
            <x v="4"/>
          </reference>
        </references>
      </pivotArea>
    </format>
    <format dxfId="72">
      <pivotArea collapsedLevelsAreSubtotals="1" fieldPosition="0">
        <references count="2">
          <reference field="4294967294" count="1" selected="0">
            <x v="0"/>
          </reference>
          <reference field="6" count="1">
            <x v="5"/>
          </reference>
        </references>
      </pivotArea>
    </format>
    <format dxfId="71">
      <pivotArea collapsedLevelsAreSubtotals="1" fieldPosition="0">
        <references count="2">
          <reference field="4294967294" count="1" selected="0">
            <x v="0"/>
          </reference>
          <reference field="6" count="1">
            <x v="6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0"/>
          </reference>
          <reference field="6" count="1">
            <x v="7"/>
          </reference>
        </references>
      </pivotArea>
    </format>
    <format dxfId="69">
      <pivotArea collapsedLevelsAreSubtotals="1" fieldPosition="0">
        <references count="2">
          <reference field="4294967294" count="1" selected="0">
            <x v="0"/>
          </reference>
          <reference field="6" count="1">
            <x v="8"/>
          </reference>
        </references>
      </pivotArea>
    </format>
    <format dxfId="68">
      <pivotArea collapsedLevelsAreSubtotals="1" fieldPosition="0">
        <references count="2">
          <reference field="4294967294" count="1" selected="0">
            <x v="0"/>
          </reference>
          <reference field="6" count="1">
            <x v="9"/>
          </reference>
        </references>
      </pivotArea>
    </format>
    <format dxfId="67">
      <pivotArea collapsedLevelsAreSubtotals="1" fieldPosition="0">
        <references count="2">
          <reference field="4294967294" count="1" selected="0">
            <x v="0"/>
          </reference>
          <reference field="6" count="1">
            <x v="10"/>
          </reference>
        </references>
      </pivotArea>
    </format>
    <format dxfId="66">
      <pivotArea collapsedLevelsAreSubtotals="1" fieldPosition="0">
        <references count="2">
          <reference field="4294967294" count="1" selected="0">
            <x v="0"/>
          </reference>
          <reference field="6" count="1">
            <x v="11"/>
          </reference>
        </references>
      </pivotArea>
    </format>
    <format dxfId="65">
      <pivotArea collapsedLevelsAreSubtotals="1" fieldPosition="0">
        <references count="2">
          <reference field="4294967294" count="1" selected="0">
            <x v="0"/>
          </reference>
          <reference field="6" count="1">
            <x v="12"/>
          </reference>
        </references>
      </pivotArea>
    </format>
    <format dxfId="64">
      <pivotArea outline="0" collapsedLevelsAreSubtotals="1" fieldPosition="0"/>
    </format>
    <format dxfId="6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AA3C7C-8E63-464D-BAEF-73EAA9E69F32}" name="Tabela dinâmica18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4:C106" firstHeaderRow="0" firstDataRow="1" firstDataCol="1"/>
  <pivotFields count="2">
    <pivotField axis="axisRow" dataField="1" showAll="0">
      <items count="3">
        <item x="0"/>
        <item x="1"/>
        <item t="default"/>
      </items>
    </pivotField>
    <pivotField axis="axisRow" dataField="1" showAll="0">
      <items count="1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</pivotFields>
  <rowFields count="2">
    <field x="0"/>
    <field x="1"/>
  </rowFields>
  <rowItems count="10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14"/>
    </i>
    <i r="1">
      <x v="15"/>
    </i>
    <i r="1">
      <x v="16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9"/>
    </i>
    <i r="1">
      <x v="90"/>
    </i>
    <i r="1">
      <x v="91"/>
    </i>
    <i r="1">
      <x v="94"/>
    </i>
    <i r="1">
      <x v="95"/>
    </i>
    <i r="1">
      <x v="96"/>
    </i>
    <i r="1">
      <x v="97"/>
    </i>
    <i r="1">
      <x v="98"/>
    </i>
    <i>
      <x v="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51"/>
    </i>
    <i r="1">
      <x v="52"/>
    </i>
    <i r="1">
      <x v="53"/>
    </i>
    <i r="1">
      <x v="54"/>
    </i>
    <i r="1">
      <x v="67"/>
    </i>
    <i r="1">
      <x v="68"/>
    </i>
    <i r="1">
      <x v="76"/>
    </i>
    <i r="1">
      <x v="77"/>
    </i>
    <i r="1">
      <x v="88"/>
    </i>
    <i r="1">
      <x v="92"/>
    </i>
    <i r="1">
      <x v="93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TIPO" fld="0" subtotal="count" baseField="0" baseItem="0"/>
    <dataField name="Máx. de DATA" fld="1" subtotal="max" baseField="0" baseItem="0" numFmtId="14"/>
  </dataFields>
  <formats count="6">
    <format dxfId="62">
      <pivotArea outline="0" collapsedLevelsAreSubtotals="1" fieldPosition="0"/>
    </format>
    <format dxfId="61">
      <pivotArea collapsedLevelsAreSubtotals="1" fieldPosition="0">
        <references count="2">
          <reference field="4294967294" count="1" selected="0">
            <x v="1"/>
          </reference>
          <reference field="0" count="1">
            <x v="1"/>
          </reference>
        </references>
      </pivotArea>
    </format>
    <format dxfId="60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59">
      <pivotArea collapsedLevelsAreSubtotals="1" fieldPosition="0">
        <references count="2">
          <reference field="4294967294" count="1" selected="0">
            <x v="1"/>
          </reference>
          <reference field="0" count="1">
            <x v="0"/>
          </reference>
        </references>
      </pivotArea>
    </format>
    <format dxfId="5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103">
    <chartFormat chart="0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0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0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4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5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6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3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4"/>
          </reference>
        </references>
      </pivotArea>
    </chartFormat>
    <chartFormat chart="0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5"/>
          </reference>
        </references>
      </pivotArea>
    </chartFormat>
    <chartFormat chart="0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6"/>
          </reference>
        </references>
      </pivotArea>
    </chartFormat>
    <chartFormat chart="0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7"/>
          </reference>
        </references>
      </pivotArea>
    </chartFormat>
    <chartFormat chart="0" format="3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8"/>
          </reference>
        </references>
      </pivotArea>
    </chartFormat>
    <chartFormat chart="0" format="3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9"/>
          </reference>
        </references>
      </pivotArea>
    </chartFormat>
    <chartFormat chart="0" format="4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0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1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2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3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4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5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6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7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8"/>
          </reference>
        </references>
      </pivotArea>
    </chartFormat>
    <chartFormat chart="0" format="4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9"/>
          </reference>
        </references>
      </pivotArea>
    </chartFormat>
    <chartFormat chart="0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0"/>
          </reference>
        </references>
      </pivotArea>
    </chartFormat>
    <chartFormat chart="0" format="5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1"/>
          </reference>
        </references>
      </pivotArea>
    </chartFormat>
    <chartFormat chart="0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2"/>
          </reference>
        </references>
      </pivotArea>
    </chartFormat>
    <chartFormat chart="0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3"/>
          </reference>
        </references>
      </pivotArea>
    </chartFormat>
    <chartFormat chart="0" format="5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4"/>
          </reference>
        </references>
      </pivotArea>
    </chartFormat>
    <chartFormat chart="0" format="5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5"/>
          </reference>
        </references>
      </pivotArea>
    </chartFormat>
    <chartFormat chart="0" format="5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6"/>
          </reference>
        </references>
      </pivotArea>
    </chartFormat>
    <chartFormat chart="0" format="5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7"/>
          </reference>
        </references>
      </pivotArea>
    </chartFormat>
    <chartFormat chart="0" format="5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8"/>
          </reference>
        </references>
      </pivotArea>
    </chartFormat>
    <chartFormat chart="0" format="5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9"/>
          </reference>
        </references>
      </pivotArea>
    </chartFormat>
    <chartFormat chart="0" format="6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0"/>
          </reference>
        </references>
      </pivotArea>
    </chartFormat>
    <chartFormat chart="0" format="6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5"/>
          </reference>
        </references>
      </pivotArea>
    </chartFormat>
    <chartFormat chart="0" format="6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6"/>
          </reference>
        </references>
      </pivotArea>
    </chartFormat>
    <chartFormat chart="0" format="6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7"/>
          </reference>
        </references>
      </pivotArea>
    </chartFormat>
    <chartFormat chart="0" format="6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8"/>
          </reference>
        </references>
      </pivotArea>
    </chartFormat>
    <chartFormat chart="0" format="6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9"/>
          </reference>
        </references>
      </pivotArea>
    </chartFormat>
    <chartFormat chart="0" format="6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0"/>
          </reference>
        </references>
      </pivotArea>
    </chartFormat>
    <chartFormat chart="0" format="6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1"/>
          </reference>
        </references>
      </pivotArea>
    </chartFormat>
    <chartFormat chart="0" format="6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2"/>
          </reference>
        </references>
      </pivotArea>
    </chartFormat>
    <chartFormat chart="0" format="6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3"/>
          </reference>
        </references>
      </pivotArea>
    </chartFormat>
    <chartFormat chart="0" format="7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4"/>
          </reference>
        </references>
      </pivotArea>
    </chartFormat>
    <chartFormat chart="0" format="7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5"/>
          </reference>
        </references>
      </pivotArea>
    </chartFormat>
    <chartFormat chart="0" format="7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6"/>
          </reference>
        </references>
      </pivotArea>
    </chartFormat>
    <chartFormat chart="0" format="7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9"/>
          </reference>
        </references>
      </pivotArea>
    </chartFormat>
    <chartFormat chart="0" format="7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0"/>
          </reference>
        </references>
      </pivotArea>
    </chartFormat>
    <chartFormat chart="0" format="7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1"/>
          </reference>
        </references>
      </pivotArea>
    </chartFormat>
    <chartFormat chart="0" format="7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2"/>
          </reference>
        </references>
      </pivotArea>
    </chartFormat>
    <chartFormat chart="0" format="7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3"/>
          </reference>
        </references>
      </pivotArea>
    </chartFormat>
    <chartFormat chart="0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4"/>
          </reference>
        </references>
      </pivotArea>
    </chartFormat>
    <chartFormat chart="0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5"/>
          </reference>
        </references>
      </pivotArea>
    </chartFormat>
    <chartFormat chart="0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8"/>
          </reference>
        </references>
      </pivotArea>
    </chartFormat>
    <chartFormat chart="0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9"/>
          </reference>
        </references>
      </pivotArea>
    </chartFormat>
    <chartFormat chart="0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0"/>
          </reference>
        </references>
      </pivotArea>
    </chartFormat>
    <chartFormat chart="0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1"/>
          </reference>
        </references>
      </pivotArea>
    </chartFormat>
    <chartFormat chart="0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2"/>
          </reference>
        </references>
      </pivotArea>
    </chartFormat>
    <chartFormat chart="0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3"/>
          </reference>
        </references>
      </pivotArea>
    </chartFormat>
    <chartFormat chart="0" format="8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4"/>
          </reference>
        </references>
      </pivotArea>
    </chartFormat>
    <chartFormat chart="0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5"/>
          </reference>
        </references>
      </pivotArea>
    </chartFormat>
    <chartFormat chart="0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6"/>
          </reference>
        </references>
      </pivotArea>
    </chartFormat>
    <chartFormat chart="0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7"/>
          </reference>
        </references>
      </pivotArea>
    </chartFormat>
    <chartFormat chart="0" format="9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89"/>
          </reference>
        </references>
      </pivotArea>
    </chartFormat>
    <chartFormat chart="0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0"/>
          </reference>
        </references>
      </pivotArea>
    </chartFormat>
    <chartFormat chart="0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1"/>
          </reference>
        </references>
      </pivotArea>
    </chartFormat>
    <chartFormat chart="0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4"/>
          </reference>
        </references>
      </pivotArea>
    </chartFormat>
    <chartFormat chart="0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5"/>
          </reference>
        </references>
      </pivotArea>
    </chartFormat>
    <chartFormat chart="0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6"/>
          </reference>
        </references>
      </pivotArea>
    </chartFormat>
    <chartFormat chart="0" format="9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7"/>
          </reference>
        </references>
      </pivotArea>
    </chartFormat>
    <chartFormat chart="0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8"/>
          </reference>
        </references>
      </pivotArea>
    </chartFormat>
    <chartFormat chart="0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"/>
          </reference>
        </references>
      </pivotArea>
    </chartFormat>
    <chartFormat chart="0" format="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"/>
          </reference>
        </references>
      </pivotArea>
    </chartFormat>
    <chartFormat chart="0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8"/>
          </reference>
        </references>
      </pivotArea>
    </chartFormat>
    <chartFormat chart="0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9"/>
          </reference>
        </references>
      </pivotArea>
    </chartFormat>
    <chartFormat chart="0" format="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0"/>
          </reference>
        </references>
      </pivotArea>
    </chartFormat>
    <chartFormat chart="0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1"/>
          </reference>
        </references>
      </pivotArea>
    </chartFormat>
    <chartFormat chart="0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2"/>
          </reference>
        </references>
      </pivotArea>
    </chartFormat>
    <chartFormat chart="0" format="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3"/>
          </reference>
        </references>
      </pivotArea>
    </chartFormat>
    <chartFormat chart="0" format="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7"/>
          </reference>
        </references>
      </pivotArea>
    </chartFormat>
    <chartFormat chart="0" format="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8"/>
          </reference>
        </references>
      </pivotArea>
    </chartFormat>
    <chartFormat chart="0" format="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9"/>
          </reference>
        </references>
      </pivotArea>
    </chartFormat>
    <chartFormat chart="0" format="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0"/>
          </reference>
        </references>
      </pivotArea>
    </chartFormat>
    <chartFormat chart="0" format="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1"/>
          </reference>
        </references>
      </pivotArea>
    </chartFormat>
    <chartFormat chart="0" format="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2"/>
          </reference>
        </references>
      </pivotArea>
    </chartFormat>
    <chartFormat chart="0" format="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1"/>
          </reference>
        </references>
      </pivotArea>
    </chartFormat>
    <chartFormat chart="0" format="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2"/>
          </reference>
        </references>
      </pivotArea>
    </chartFormat>
    <chartFormat chart="0" format="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3"/>
          </reference>
        </references>
      </pivotArea>
    </chartFormat>
    <chartFormat chart="0" format="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4"/>
          </reference>
        </references>
      </pivotArea>
    </chartFormat>
    <chartFormat chart="0" format="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7"/>
          </reference>
        </references>
      </pivotArea>
    </chartFormat>
    <chartFormat chart="0" format="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8"/>
          </reference>
        </references>
      </pivotArea>
    </chartFormat>
    <chartFormat chart="0" format="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6"/>
          </reference>
        </references>
      </pivotArea>
    </chartFormat>
    <chartFormat chart="0" format="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7"/>
          </reference>
        </references>
      </pivotArea>
    </chartFormat>
    <chartFormat chart="0" format="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88"/>
          </reference>
        </references>
      </pivotArea>
    </chartFormat>
    <chartFormat chart="0" format="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92"/>
          </reference>
        </references>
      </pivotArea>
    </chartFormat>
    <chartFormat chart="0" format="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9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refreshOnLoad="1" connectionId="1" xr16:uid="{15EC362D-18C3-4067-8018-C79FF06B8122}" autoFormatId="16" applyNumberFormats="0" applyBorderFormats="0" applyFontFormats="0" applyPatternFormats="0" applyAlignmentFormats="0" applyWidthHeightFormats="0">
  <queryTableRefresh nextId="32">
    <queryTableFields count="12">
      <queryTableField id="16" name="Arquivos" tableColumnId="13"/>
      <queryTableField id="28" name="Inicio do backup.1" tableColumnId="25"/>
      <queryTableField id="29" name="Fim do backup.1" tableColumnId="26"/>
      <queryTableField id="19" name="Tempo necess rio" tableColumnId="16"/>
      <queryTableField id="20" name="Tamanho de dados copiados" tableColumnId="17"/>
      <queryTableField id="21" name="N£mero de arquivos processados" tableColumnId="18"/>
      <queryTableField id="22" name="Tipo de execu‡Æo" tableColumnId="19"/>
      <queryTableField id="23" name="Computador/Conta" tableColumnId="20"/>
      <queryTableField id="24" name="VersÆo do Windows" tableColumnId="21"/>
      <queryTableField id="25" name="Resultado do backup" tableColumnId="22"/>
      <queryTableField id="26" name="Inicio do backup_1" tableColumnId="23"/>
      <queryTableField id="27" name="Iniciando backup em disco - \\192.168.0.11\Backup\Arquivos" tableColumnId="2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refreshOnLoad="1" connectionId="2" xr16:uid="{3F32A1FC-FAA0-456A-AF06-282C8B68A889}" autoFormatId="16" applyNumberFormats="0" applyBorderFormats="0" applyFontFormats="0" applyPatternFormats="0" applyAlignmentFormats="0" applyWidthHeightFormats="0">
  <queryTableRefresh nextId="51">
    <queryTableFields count="12">
      <queryTableField id="35" name="Protheus" tableColumnId="13"/>
      <queryTableField id="47" name="Inicio do backup.1" tableColumnId="25"/>
      <queryTableField id="48" name="Fim do backup.1" tableColumnId="26"/>
      <queryTableField id="38" name="Tempo necess rio" tableColumnId="16"/>
      <queryTableField id="39" name="Tamanho de dados copiados" tableColumnId="17"/>
      <queryTableField id="40" name="N£mero de arquivos processados" tableColumnId="18"/>
      <queryTableField id="41" name="N£mero de arquivos que produziram erros" tableColumnId="19"/>
      <queryTableField id="42" name="Tipo de execu‡Æo" tableColumnId="20"/>
      <queryTableField id="43" name="Computador/Conta" tableColumnId="21"/>
      <queryTableField id="44" name="VersÆo do Windows" tableColumnId="22"/>
      <queryTableField id="45" name="Resultado do backup" tableColumnId="23"/>
      <queryTableField id="46" name="Inicio do backup_1" tableColumnId="2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C2F707E6-9DF0-46BA-BF65-F07D6396B6E8}" sourceName="TIPO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DC54F588-FBF8-4A0B-8E0A-74F5D1ED77C3}" sourceName="DATA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1" xr10:uid="{B8013BD8-3061-4EC3-BF02-710314319EEF}" sourceName="TIPO">
  <extLst>
    <x:ext xmlns:x15="http://schemas.microsoft.com/office/spreadsheetml/2010/11/main" uri="{2F2917AC-EB37-4324-AD4E-5DD8C200BD13}">
      <x15:tableSlicerCache tableId="5" column="2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11" xr10:uid="{C699F758-B54E-40FA-9DDC-DFFC98BC36DE}" sourceName="TIPO">
  <extLst>
    <x:ext xmlns:x15="http://schemas.microsoft.com/office/spreadsheetml/2010/11/main" uri="{2F2917AC-EB37-4324-AD4E-5DD8C200BD13}">
      <x15:tableSlicerCache tableId="6" column="2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11" xr10:uid="{062775BE-F57F-410C-B0EA-9C66A3F0C9C8}" sourceName="DATA">
  <extLst>
    <x:ext xmlns:x15="http://schemas.microsoft.com/office/spreadsheetml/2010/11/main" uri="{2F2917AC-EB37-4324-AD4E-5DD8C200BD13}">
      <x15:tableSlicerCache tableId="6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1" xr10:uid="{6035B1AA-546F-4414-86D2-943B229F52BC}" sourceName="DATA">
  <extLst>
    <x:ext xmlns:x15="http://schemas.microsoft.com/office/spreadsheetml/2010/11/main" uri="{2F2917AC-EB37-4324-AD4E-5DD8C200BD13}">
      <x15:tableSlicerCache tableId="5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2" xr10:uid="{C75A71BC-28F3-4BB5-8BBB-D04F1D6BFF58}" cache="SegmentaçãodeDados_TIPO11" caption="TIPO" rowHeight="241300"/>
  <slicer name="DATA 1" xr10:uid="{E10045DD-F146-49B1-BA16-2E5D999D7510}" cache="SegmentaçãodeDados_DATA1" caption="DATA" startItem="100" rowHeight="2730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3" xr10:uid="{EC16832C-9470-4989-892D-AA594AFD33D0}" cache="SegmentaçãodeDados_TIPO111" caption="TIPO" rowHeight="241300"/>
  <slicer name="DATA 2" xr10:uid="{A912BA5A-ACD5-4288-8C63-C8074D4C78E8}" cache="SegmentaçãodeDados_DATA11" caption="DATA" startItem="97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1" xr10:uid="{67FACA35-6A3C-42E3-8044-AB7849DE869B}" cache="SegmentaçãodeDados_TIPO1" caption="TIPO" rowHeight="241300"/>
  <slicer name="DATA" xr10:uid="{F252F141-776C-4ED2-A428-F412F380D911}" cache="SegmentaçãodeDados_DATA" caption="DATA" rowHeight="241300"/>
</slicer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J2:M27" totalsRowShown="0">
  <autoFilter ref="J2:M27" xr:uid="{00000000-0009-0000-0100-000002000000}"/>
  <tableColumns count="4">
    <tableColumn id="1" xr3:uid="{00000000-0010-0000-0000-000001000000}" name="TAREFA"/>
    <tableColumn id="2" xr3:uid="{00000000-0010-0000-0000-000002000000}" name="TIPO"/>
    <tableColumn id="3" xr3:uid="{00000000-0010-0000-0000-000003000000}" name="DATA" dataDxfId="76"/>
    <tableColumn id="4" xr3:uid="{00000000-0010-0000-0000-000004000000}" name="GB" dataDxfId="7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37B9BF8-100C-4117-BF15-943368C223B7}" name="Tabela16" displayName="Tabela16" ref="F3:K113" headerRowDxfId="56" dataDxfId="54" headerRowBorderDxfId="55" tableBorderDxfId="53">
  <autoFilter ref="F3:K113" xr:uid="{B98C9447-7F9D-4682-8CE9-9BE6A2EA0486}">
    <filterColumn colId="2">
      <filters>
        <dateGroupItem year="2019" month="5" day="1" dateTimeGrouping="day"/>
        <dateGroupItem year="2019" month="7" day="1" dateTimeGrouping="day"/>
        <dateGroupItem year="2019" month="8" day="1" dateTimeGrouping="day"/>
        <dateGroupItem year="2019" month="9" day="1" dateTimeGrouping="day"/>
        <dateGroupItem year="2019" month="9" day="9" dateTimeGrouping="day"/>
        <dateGroupItem year="2019" month="9" day="10" dateTimeGrouping="day"/>
        <dateGroupItem year="2019" month="9" day="11" dateTimeGrouping="day"/>
        <dateGroupItem year="2019" month="9" day="12" dateTimeGrouping="day"/>
        <dateGroupItem year="2019" month="9" day="13" dateTimeGrouping="day"/>
        <dateGroupItem year="2019" month="9" day="14" dateTimeGrouping="day"/>
      </filters>
    </filterColumn>
  </autoFilter>
  <tableColumns count="6">
    <tableColumn id="1" xr3:uid="{25BEE23E-48C9-4904-9F9F-F74D9A8624FF}" name="TAREFA" totalsRowLabel="Total" dataDxfId="52"/>
    <tableColumn id="2" xr3:uid="{3F6ED843-B39D-4029-89D1-2DD5A943137A}" name="TIPO" dataDxfId="51"/>
    <tableColumn id="3" xr3:uid="{EC01B5A4-9EA8-4E79-BBF4-D7B93FA72A15}" name="DATA" dataDxfId="50"/>
    <tableColumn id="4" xr3:uid="{BCFFF05A-1AE7-47A2-BBCC-77E76CDA45CF}" name="GB" dataDxfId="49" totalsRowDxfId="48"/>
    <tableColumn id="5" xr3:uid="{41E39E36-EF7B-4BBE-985D-C7E58275199F}" name="Tempo" dataDxfId="47"/>
    <tableColumn id="6" xr3:uid="{92B6D5A0-C0B4-4D0F-9E4F-B91E4AA7F430}" name="Número de Arquivos" totalsRowFunction="sum" dataDxfId="4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F5BD4C3-3529-437A-8F48-E9B2F19C4B13}" name="Tabela167" displayName="Tabela167" ref="F3:K109" totalsRowShown="0" headerRowDxfId="45" headerRowBorderDxfId="44" tableBorderDxfId="43">
  <autoFilter ref="F3:K109" xr:uid="{B98C9447-7F9D-4682-8CE9-9BE6A2EA0486}">
    <filterColumn colId="2">
      <filters>
        <dateGroupItem year="2019" month="5" day="1" dateTimeGrouping="day"/>
        <dateGroupItem year="2019" month="7" day="1" dateTimeGrouping="day"/>
        <dateGroupItem year="2019" month="8" day="1" dateTimeGrouping="day"/>
        <dateGroupItem year="2019" month="9" day="1" dateTimeGrouping="day"/>
        <dateGroupItem year="2019" month="9" day="9" dateTimeGrouping="day"/>
        <dateGroupItem year="2019" month="9" day="10" dateTimeGrouping="day"/>
        <dateGroupItem year="2019" month="9" day="11" dateTimeGrouping="day"/>
        <dateGroupItem year="2019" month="9" day="12" dateTimeGrouping="day"/>
        <dateGroupItem year="2019" month="9" day="13" dateTimeGrouping="day"/>
        <dateGroupItem year="2019" month="9" day="14" dateTimeGrouping="day"/>
      </filters>
    </filterColumn>
  </autoFilter>
  <tableColumns count="6">
    <tableColumn id="1" xr3:uid="{7A18307D-C142-4454-8713-1F7952B11998}" name="TAREFA"/>
    <tableColumn id="2" xr3:uid="{F589ABE4-3710-4E18-976A-443A05B9FF8A}" name="TIPO"/>
    <tableColumn id="3" xr3:uid="{3ABDEA79-78EB-4F52-A435-B925F78C4063}" name="DATA" dataDxfId="42"/>
    <tableColumn id="4" xr3:uid="{C254843E-C4EB-481E-96F3-6AC61E2BAD89}" name="GB" dataDxfId="41"/>
    <tableColumn id="5" xr3:uid="{315A1CDE-03C4-467F-82B4-D02A234AB1B4}" name="Tempo"/>
    <tableColumn id="6" xr3:uid="{6E20E096-92F6-47B6-8B14-4D19F11FF88B}" name="Número de Arquivos" dataDxfId="4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CD196-5BE2-4AC5-B3CF-27E3A26B8E48}" name="Tabela1" displayName="Tabela1" ref="F3:K5" totalsRowShown="0" headerRowDxfId="29" headerRowBorderDxfId="28" tableBorderDxfId="27">
  <autoFilter ref="F3:K5" xr:uid="{B98C9447-7F9D-4682-8CE9-9BE6A2EA0486}"/>
  <tableColumns count="6">
    <tableColumn id="1" xr3:uid="{6CA5B8FE-3EE4-4534-B9F3-1F5B9C097412}" name="TAREFA"/>
    <tableColumn id="2" xr3:uid="{299ED48B-CC4A-427F-9A32-1510957A88AE}" name="TIPO"/>
    <tableColumn id="3" xr3:uid="{512D6D8B-2496-4AD8-A929-19BD712237AC}" name="DATA" dataDxfId="26"/>
    <tableColumn id="4" xr3:uid="{CB0DBEED-48E7-4CDD-8825-17244EC0C12D}" name="GB" dataDxfId="25"/>
    <tableColumn id="5" xr3:uid="{5608D9F4-16F1-492E-AEA5-6D663F3ABCC4}" name="Tempo"/>
    <tableColumn id="6" xr3:uid="{B5AAD26D-EA1D-426D-8CA9-D4E00D8D1E65}" name="Número de Arquivos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D63D93-E362-48B9-BB47-2C2AE85AC1BC}" name="arquivos" displayName="arquivos" ref="A1:L2" tableType="queryTable" totalsRowShown="0">
  <autoFilter ref="A1:L2" xr:uid="{8A503AC8-F373-4F85-B088-EE0264C454BA}"/>
  <tableColumns count="12">
    <tableColumn id="13" xr3:uid="{BF0DD634-4099-4198-86FE-232E5E42B546}" uniqueName="13" name="Arquivos" queryTableFieldId="16" dataDxfId="22"/>
    <tableColumn id="25" xr3:uid="{D2A9B4C4-0E6B-44BA-BB0B-56019AEF11C8}" uniqueName="25" name="Inicio do backup.1" queryTableFieldId="28" dataDxfId="21"/>
    <tableColumn id="26" xr3:uid="{804647AE-DF13-458F-B60B-5A0F6DFDC83E}" uniqueName="26" name="Fim do backup.1" queryTableFieldId="29" dataDxfId="20"/>
    <tableColumn id="16" xr3:uid="{267FA42A-367C-4853-965A-CCEE1A68FF8C}" uniqueName="16" name="Tempo necess rio" queryTableFieldId="19" dataDxfId="19"/>
    <tableColumn id="17" xr3:uid="{FC00D098-7396-4CCF-98F3-72B89DB5285A}" uniqueName="17" name="Tamanho de dados copiados" queryTableFieldId="20" dataDxfId="18"/>
    <tableColumn id="18" xr3:uid="{50AFDAEE-46A7-47BB-9C77-34F1C68FFE52}" uniqueName="18" name="N£mero de arquivos processados" queryTableFieldId="21"/>
    <tableColumn id="19" xr3:uid="{75932754-F9C6-46C2-9062-2BABDCA1AA08}" uniqueName="19" name="Tipo de execu‡Æo" queryTableFieldId="22" dataDxfId="17"/>
    <tableColumn id="20" xr3:uid="{73B4CBE6-CDAA-4E20-8BDA-4038876BC4EE}" uniqueName="20" name="Computador/Conta" queryTableFieldId="23" dataDxfId="16"/>
    <tableColumn id="21" xr3:uid="{F21D3E8A-CEB7-4A18-8946-56C6F97CC394}" uniqueName="21" name="VersÆo do Windows" queryTableFieldId="24" dataDxfId="15"/>
    <tableColumn id="22" xr3:uid="{9D8CDFBF-A92C-4041-A477-108902267EE5}" uniqueName="22" name="Resultado do backup" queryTableFieldId="25" dataDxfId="14"/>
    <tableColumn id="23" xr3:uid="{C7F96FD3-F36C-4DAB-A404-D5DFD6457014}" uniqueName="23" name="Inicio do backup_1" queryTableFieldId="26" dataDxfId="13"/>
    <tableColumn id="24" xr3:uid="{966B2E6A-C798-46FD-83A9-F433DC722E7B}" uniqueName="24" name="Iniciando backup em disco - \\192.168.0.11\Backup\Arquivos" queryTableFieldId="27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220CE53-9BE0-4676-A7E1-E4BCE4AABDC7}" name="Protheus_ATT" displayName="Protheus_ATT" ref="A1:L2" tableType="queryTable">
  <autoFilter ref="A1:L2" xr:uid="{43C547B8-448B-4D4A-B254-F72A6D35C3C8}"/>
  <tableColumns count="12">
    <tableColumn id="13" xr3:uid="{C3C0A672-002A-4E69-B64E-D82B113D2571}" uniqueName="13" name="Protheus" queryTableFieldId="35" dataDxfId="11"/>
    <tableColumn id="25" xr3:uid="{CC40AE08-2C33-4963-B7C5-E7BCBD84B893}" uniqueName="25" name="Inicio do backup.1" queryTableFieldId="47" dataDxfId="10"/>
    <tableColumn id="26" xr3:uid="{5B77139B-468D-43DE-B16A-450AAAADBDD2}" uniqueName="26" name="Fim do backup.1" queryTableFieldId="48" dataDxfId="9"/>
    <tableColumn id="16" xr3:uid="{738FDCE4-4C27-4F21-BC6D-8016F0F7E3AA}" uniqueName="16" name="Tempo necess rio" queryTableFieldId="38" dataDxfId="8"/>
    <tableColumn id="17" xr3:uid="{62D49C7F-1F99-4408-8D71-32B2D27A84D8}" uniqueName="17" name="Tamanho de dados copiados" queryTableFieldId="39" dataDxfId="7"/>
    <tableColumn id="18" xr3:uid="{1F5F2945-F032-4170-8B2B-9B8AF25525A1}" uniqueName="18" name="N£mero de arquivos processados" queryTableFieldId="40" dataDxfId="6"/>
    <tableColumn id="19" xr3:uid="{F6677F55-5B38-4B3A-934D-6401E02EC555}" uniqueName="19" name="N£mero de arquivos que produziram erros" queryTableFieldId="41" dataDxfId="5"/>
    <tableColumn id="20" xr3:uid="{4640AADE-019F-4358-9A15-C08656B283B8}" uniqueName="20" name="Tipo de execu‡Æo" queryTableFieldId="42" dataDxfId="4"/>
    <tableColumn id="21" xr3:uid="{E3950B9C-A1B2-4CEE-9A47-40EC6C6000B3}" uniqueName="21" name="Computador/Conta" queryTableFieldId="43" dataDxfId="3"/>
    <tableColumn id="22" xr3:uid="{FEDDBBEE-2E05-42A2-9607-8E07781013A7}" uniqueName="22" name="VersÆo do Windows" queryTableFieldId="44" dataDxfId="2"/>
    <tableColumn id="23" xr3:uid="{4BB37394-7667-43D6-9F13-9CC994D9DE7B}" uniqueName="23" name="Resultado do backup" queryTableFieldId="45" dataDxfId="1"/>
    <tableColumn id="24" xr3:uid="{B6A3390C-5404-4F93-9F54-C276C73A28EC}" uniqueName="24" name="Inicio do backup_1" queryTableFieldId="46" dataDxfId="0"/>
  </tableColumns>
  <tableStyleInfo name="TableStyleMedium7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tável">
  <a:themeElements>
    <a:clrScheme name="Citável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Citável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Citável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microsoft.com/office/2007/relationships/slicer" Target="../slicers/slicer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microsoft.com/office/2007/relationships/slicer" Target="../slicers/slicer2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microsoft.com/office/2007/relationships/slicer" Target="../slicers/slicer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V27"/>
  <sheetViews>
    <sheetView workbookViewId="0">
      <selection activeCell="G14" sqref="G14"/>
    </sheetView>
  </sheetViews>
  <sheetFormatPr defaultRowHeight="16.5" x14ac:dyDescent="0.3"/>
  <cols>
    <col min="3" max="3" width="12" customWidth="1"/>
    <col min="5" max="5" width="11.25" customWidth="1"/>
    <col min="10" max="10" width="31.25" customWidth="1"/>
    <col min="11" max="11" width="16.5" customWidth="1"/>
    <col min="12" max="12" width="16.375" customWidth="1"/>
    <col min="13" max="13" width="12.75" customWidth="1"/>
    <col min="16" max="16" width="17.875" bestFit="1" customWidth="1"/>
    <col min="17" max="17" width="19.875" bestFit="1" customWidth="1"/>
    <col min="18" max="18" width="10.625" bestFit="1" customWidth="1"/>
    <col min="19" max="21" width="10.625" customWidth="1"/>
    <col min="22" max="22" width="10.875" customWidth="1"/>
  </cols>
  <sheetData>
    <row r="2" spans="2:22" x14ac:dyDescent="0.3">
      <c r="B2" s="24"/>
      <c r="C2" s="25"/>
      <c r="D2" s="10"/>
      <c r="E2" s="10"/>
      <c r="F2" s="10" t="s">
        <v>16</v>
      </c>
      <c r="G2" s="11">
        <f>1-G9/F9</f>
        <v>0.95511329291301084</v>
      </c>
      <c r="J2" t="s">
        <v>35</v>
      </c>
      <c r="K2" t="s">
        <v>36</v>
      </c>
      <c r="L2" t="s">
        <v>37</v>
      </c>
      <c r="M2" t="s">
        <v>38</v>
      </c>
      <c r="P2" s="37" t="s">
        <v>47</v>
      </c>
      <c r="Q2" s="37" t="s">
        <v>48</v>
      </c>
    </row>
    <row r="3" spans="2:22" x14ac:dyDescent="0.3">
      <c r="B3" s="26"/>
      <c r="C3" s="20"/>
      <c r="D3" s="12"/>
      <c r="E3" s="12"/>
      <c r="F3" s="12" t="s">
        <v>11</v>
      </c>
      <c r="G3" s="13">
        <f>G9/F9</f>
        <v>4.4886707086989178E-2</v>
      </c>
      <c r="J3" t="s">
        <v>33</v>
      </c>
      <c r="K3" t="s">
        <v>34</v>
      </c>
      <c r="L3" s="32">
        <v>42858</v>
      </c>
      <c r="M3" s="33">
        <v>39.9</v>
      </c>
      <c r="P3" s="37" t="s">
        <v>45</v>
      </c>
      <c r="Q3" s="32">
        <v>42858</v>
      </c>
      <c r="R3" s="32">
        <v>42859</v>
      </c>
      <c r="S3" s="32">
        <v>42860</v>
      </c>
      <c r="T3" s="32">
        <v>42863</v>
      </c>
      <c r="U3" s="32">
        <v>42857</v>
      </c>
      <c r="V3" s="32" t="s">
        <v>46</v>
      </c>
    </row>
    <row r="4" spans="2:22" x14ac:dyDescent="0.3">
      <c r="B4" s="26"/>
      <c r="C4" s="20"/>
      <c r="D4" s="12"/>
      <c r="E4" s="12" t="s">
        <v>19</v>
      </c>
      <c r="F4" s="12" t="s">
        <v>24</v>
      </c>
      <c r="G4" s="14" t="s">
        <v>25</v>
      </c>
      <c r="J4" t="s">
        <v>33</v>
      </c>
      <c r="K4" t="s">
        <v>39</v>
      </c>
      <c r="L4" s="32">
        <v>42859</v>
      </c>
      <c r="M4" s="33">
        <v>0.01</v>
      </c>
      <c r="P4" s="38" t="s">
        <v>34</v>
      </c>
      <c r="Q4" s="8">
        <v>79.34</v>
      </c>
      <c r="R4" s="8"/>
      <c r="S4" s="8"/>
      <c r="T4" s="8"/>
      <c r="U4" s="8"/>
      <c r="V4" s="8">
        <v>79.34</v>
      </c>
    </row>
    <row r="5" spans="2:22" x14ac:dyDescent="0.3">
      <c r="B5" s="26"/>
      <c r="C5" s="20"/>
      <c r="D5" s="12"/>
      <c r="E5" s="12" t="s">
        <v>20</v>
      </c>
      <c r="F5" s="15">
        <v>19.3</v>
      </c>
      <c r="G5" s="16">
        <v>7.03</v>
      </c>
      <c r="J5" t="s">
        <v>33</v>
      </c>
      <c r="K5" t="s">
        <v>39</v>
      </c>
      <c r="L5" s="32">
        <v>42860</v>
      </c>
      <c r="M5" s="33">
        <v>0.20100000000000001</v>
      </c>
      <c r="P5" s="38" t="s">
        <v>39</v>
      </c>
      <c r="Q5" s="8"/>
      <c r="R5" s="8">
        <v>2.5899999999999999E-2</v>
      </c>
      <c r="S5" s="8">
        <v>0.45816999999999997</v>
      </c>
      <c r="T5" s="8">
        <v>0.214</v>
      </c>
      <c r="U5" s="8"/>
      <c r="V5" s="8">
        <v>0.69806999999999997</v>
      </c>
    </row>
    <row r="6" spans="2:22" x14ac:dyDescent="0.3">
      <c r="B6" s="26"/>
      <c r="C6" s="20"/>
      <c r="D6" s="12"/>
      <c r="E6" s="12" t="s">
        <v>21</v>
      </c>
      <c r="F6" s="15">
        <f>3.64*1000</f>
        <v>3640</v>
      </c>
      <c r="G6" s="16">
        <v>8.43</v>
      </c>
      <c r="J6" t="s">
        <v>33</v>
      </c>
      <c r="K6" t="s">
        <v>39</v>
      </c>
      <c r="L6" s="32">
        <v>42863</v>
      </c>
      <c r="M6" s="33">
        <v>1E-3</v>
      </c>
      <c r="P6" s="38" t="s">
        <v>49</v>
      </c>
      <c r="Q6" s="8"/>
      <c r="R6" s="8"/>
      <c r="S6" s="8"/>
      <c r="T6" s="8"/>
      <c r="U6" s="8">
        <v>6400</v>
      </c>
      <c r="V6" s="8">
        <v>6400</v>
      </c>
    </row>
    <row r="7" spans="2:22" x14ac:dyDescent="0.3">
      <c r="B7" s="27" t="s">
        <v>17</v>
      </c>
      <c r="C7" s="23" t="s">
        <v>15</v>
      </c>
      <c r="D7" s="12"/>
      <c r="E7" s="12" t="s">
        <v>22</v>
      </c>
      <c r="F7" s="15">
        <f>1.74*1000</f>
        <v>1740</v>
      </c>
      <c r="G7" s="16">
        <v>221</v>
      </c>
      <c r="J7" t="s">
        <v>40</v>
      </c>
      <c r="K7" t="s">
        <v>34</v>
      </c>
      <c r="L7" s="32">
        <v>42858</v>
      </c>
      <c r="M7" s="33">
        <v>3.65</v>
      </c>
      <c r="P7" s="38" t="s">
        <v>46</v>
      </c>
      <c r="Q7" s="39">
        <v>79.34</v>
      </c>
      <c r="R7" s="39">
        <v>2.5899999999999999E-2</v>
      </c>
      <c r="S7" s="39">
        <v>0.45816999999999997</v>
      </c>
      <c r="T7" s="39">
        <v>0.214</v>
      </c>
      <c r="U7" s="39">
        <v>6400</v>
      </c>
      <c r="V7" s="39">
        <v>6480.0380699999996</v>
      </c>
    </row>
    <row r="8" spans="2:22" x14ac:dyDescent="0.3">
      <c r="B8" s="27" t="s">
        <v>18</v>
      </c>
      <c r="C8" s="23" t="s">
        <v>10</v>
      </c>
      <c r="D8" s="12"/>
      <c r="E8" s="12" t="s">
        <v>23</v>
      </c>
      <c r="F8" s="15">
        <v>60</v>
      </c>
      <c r="G8" s="16">
        <v>8.59</v>
      </c>
      <c r="J8" t="s">
        <v>40</v>
      </c>
      <c r="K8" t="s">
        <v>39</v>
      </c>
      <c r="L8" s="32">
        <v>42859</v>
      </c>
      <c r="M8" s="33">
        <v>1.44E-2</v>
      </c>
      <c r="P8" s="37" t="s">
        <v>36</v>
      </c>
      <c r="Q8" t="s">
        <v>34</v>
      </c>
    </row>
    <row r="9" spans="2:22" x14ac:dyDescent="0.3">
      <c r="B9" s="21"/>
      <c r="C9" s="22"/>
      <c r="D9" s="17"/>
      <c r="E9" s="17" t="s">
        <v>26</v>
      </c>
      <c r="F9" s="18">
        <f>SUM(F5:F8)</f>
        <v>5459.3</v>
      </c>
      <c r="G9" s="19">
        <f>SUM(G5:G8)</f>
        <v>245.05</v>
      </c>
      <c r="J9" t="s">
        <v>40</v>
      </c>
      <c r="K9" t="s">
        <v>39</v>
      </c>
      <c r="L9" s="32">
        <v>42860</v>
      </c>
      <c r="M9" s="33">
        <v>0.14899999999999999</v>
      </c>
    </row>
    <row r="10" spans="2:22" x14ac:dyDescent="0.3">
      <c r="J10" t="s">
        <v>40</v>
      </c>
      <c r="K10" t="s">
        <v>39</v>
      </c>
      <c r="L10" s="32">
        <v>42863</v>
      </c>
      <c r="M10" s="33">
        <v>0.10299999999999999</v>
      </c>
      <c r="P10" s="37" t="s">
        <v>47</v>
      </c>
      <c r="Q10" s="37" t="s">
        <v>48</v>
      </c>
    </row>
    <row r="11" spans="2:22" x14ac:dyDescent="0.3">
      <c r="B11" s="24"/>
      <c r="C11" s="25"/>
      <c r="D11" s="10"/>
      <c r="E11" s="10"/>
      <c r="F11" s="10" t="s">
        <v>16</v>
      </c>
      <c r="G11" s="11">
        <f>1-G18/F18</f>
        <v>0.89093750000000005</v>
      </c>
      <c r="J11" t="s">
        <v>41</v>
      </c>
      <c r="K11" t="s">
        <v>34</v>
      </c>
      <c r="L11" s="32">
        <v>42858</v>
      </c>
      <c r="M11" s="33">
        <v>7.41</v>
      </c>
      <c r="P11" s="37" t="s">
        <v>45</v>
      </c>
      <c r="Q11" s="32">
        <v>42858</v>
      </c>
      <c r="R11" s="32" t="s">
        <v>46</v>
      </c>
    </row>
    <row r="12" spans="2:22" x14ac:dyDescent="0.3">
      <c r="B12" s="26"/>
      <c r="C12" s="20"/>
      <c r="D12" s="12"/>
      <c r="E12" s="12"/>
      <c r="F12" s="12" t="s">
        <v>11</v>
      </c>
      <c r="G12" s="11">
        <f>G18/F18</f>
        <v>0.10906249999999999</v>
      </c>
      <c r="J12" t="s">
        <v>41</v>
      </c>
      <c r="K12" t="s">
        <v>39</v>
      </c>
      <c r="L12" s="32">
        <v>42859</v>
      </c>
      <c r="M12" s="33">
        <v>1.5E-3</v>
      </c>
      <c r="P12" s="38" t="s">
        <v>33</v>
      </c>
      <c r="Q12" s="39">
        <v>39.9</v>
      </c>
      <c r="R12" s="39">
        <v>39.9</v>
      </c>
    </row>
    <row r="13" spans="2:22" x14ac:dyDescent="0.3">
      <c r="B13" s="26"/>
      <c r="C13" s="20"/>
      <c r="D13" s="12"/>
      <c r="E13" s="12" t="s">
        <v>19</v>
      </c>
      <c r="F13" s="12" t="s">
        <v>24</v>
      </c>
      <c r="G13" s="14" t="s">
        <v>25</v>
      </c>
      <c r="J13" t="s">
        <v>41</v>
      </c>
      <c r="K13" t="s">
        <v>39</v>
      </c>
      <c r="L13" s="32">
        <v>42860</v>
      </c>
      <c r="M13" s="33">
        <v>3.1700000000000001E-3</v>
      </c>
      <c r="P13" s="38" t="s">
        <v>42</v>
      </c>
      <c r="Q13" s="39">
        <v>17.2</v>
      </c>
      <c r="R13" s="39">
        <v>17.2</v>
      </c>
    </row>
    <row r="14" spans="2:22" x14ac:dyDescent="0.3">
      <c r="B14" s="26"/>
      <c r="C14" s="20"/>
      <c r="D14" s="12"/>
      <c r="E14" s="12" t="s">
        <v>23</v>
      </c>
      <c r="F14" s="15">
        <v>320</v>
      </c>
      <c r="G14" s="16">
        <v>34.9</v>
      </c>
      <c r="J14" t="s">
        <v>41</v>
      </c>
      <c r="K14" t="s">
        <v>39</v>
      </c>
      <c r="L14" s="32">
        <v>42863</v>
      </c>
      <c r="M14" s="33">
        <v>5.0000000000000001E-3</v>
      </c>
      <c r="P14" s="38" t="s">
        <v>41</v>
      </c>
      <c r="Q14" s="39">
        <v>7.41</v>
      </c>
      <c r="R14" s="39">
        <v>7.41</v>
      </c>
    </row>
    <row r="15" spans="2:22" x14ac:dyDescent="0.3">
      <c r="B15" s="26"/>
      <c r="C15" s="20"/>
      <c r="D15" s="12"/>
      <c r="E15" s="12"/>
      <c r="F15" s="15"/>
      <c r="G15" s="16"/>
      <c r="J15" t="s">
        <v>42</v>
      </c>
      <c r="K15" t="s">
        <v>34</v>
      </c>
      <c r="L15" s="32">
        <v>42858</v>
      </c>
      <c r="M15" s="33">
        <v>17.2</v>
      </c>
      <c r="P15" s="38" t="s">
        <v>43</v>
      </c>
      <c r="Q15" s="39">
        <v>5.59</v>
      </c>
      <c r="R15" s="39">
        <v>5.59</v>
      </c>
    </row>
    <row r="16" spans="2:22" x14ac:dyDescent="0.3">
      <c r="B16" s="27" t="s">
        <v>17</v>
      </c>
      <c r="C16" s="23" t="s">
        <v>28</v>
      </c>
      <c r="D16" s="12"/>
      <c r="E16" s="12"/>
      <c r="F16" s="15"/>
      <c r="G16" s="16"/>
      <c r="J16" t="s">
        <v>42</v>
      </c>
      <c r="K16" t="s">
        <v>39</v>
      </c>
      <c r="L16" s="32">
        <v>42859</v>
      </c>
      <c r="M16" s="33">
        <v>0</v>
      </c>
      <c r="P16" s="38" t="s">
        <v>44</v>
      </c>
      <c r="Q16" s="39">
        <v>5.59</v>
      </c>
      <c r="R16" s="39">
        <v>5.59</v>
      </c>
    </row>
    <row r="17" spans="2:18" x14ac:dyDescent="0.3">
      <c r="B17" s="27" t="s">
        <v>18</v>
      </c>
      <c r="C17" s="23" t="s">
        <v>12</v>
      </c>
      <c r="D17" s="12"/>
      <c r="E17" s="12"/>
      <c r="F17" s="15"/>
      <c r="G17" s="16"/>
      <c r="J17" t="s">
        <v>42</v>
      </c>
      <c r="K17" t="s">
        <v>39</v>
      </c>
      <c r="L17" s="32">
        <v>42860</v>
      </c>
      <c r="M17" s="33">
        <v>0.105</v>
      </c>
      <c r="P17" s="38" t="s">
        <v>40</v>
      </c>
      <c r="Q17" s="39">
        <v>3.65</v>
      </c>
      <c r="R17" s="39">
        <v>3.65</v>
      </c>
    </row>
    <row r="18" spans="2:18" x14ac:dyDescent="0.3">
      <c r="B18" s="21"/>
      <c r="C18" s="22"/>
      <c r="D18" s="17"/>
      <c r="E18" s="17" t="s">
        <v>26</v>
      </c>
      <c r="F18" s="18">
        <f>SUM(F14:F17)</f>
        <v>320</v>
      </c>
      <c r="G18" s="19">
        <f>SUM(G14:G17)</f>
        <v>34.9</v>
      </c>
      <c r="J18" t="s">
        <v>42</v>
      </c>
      <c r="K18" t="s">
        <v>39</v>
      </c>
      <c r="L18" s="32">
        <v>42863</v>
      </c>
      <c r="M18" s="33">
        <v>0.105</v>
      </c>
      <c r="P18" s="38" t="s">
        <v>46</v>
      </c>
      <c r="Q18" s="39">
        <v>79.34</v>
      </c>
      <c r="R18" s="39">
        <v>79.34</v>
      </c>
    </row>
    <row r="19" spans="2:18" x14ac:dyDescent="0.3">
      <c r="J19" s="34" t="s">
        <v>43</v>
      </c>
      <c r="K19" t="s">
        <v>34</v>
      </c>
      <c r="L19" s="32">
        <v>42858</v>
      </c>
      <c r="M19" s="33">
        <v>5.59</v>
      </c>
    </row>
    <row r="20" spans="2:18" x14ac:dyDescent="0.3">
      <c r="B20" s="24"/>
      <c r="C20" s="25"/>
      <c r="D20" s="10"/>
      <c r="E20" s="10"/>
      <c r="F20" s="10" t="s">
        <v>16</v>
      </c>
      <c r="G20" s="11">
        <f>1-G27/F27</f>
        <v>0.29062500000000002</v>
      </c>
      <c r="J20" s="34" t="s">
        <v>43</v>
      </c>
      <c r="K20" t="s">
        <v>39</v>
      </c>
      <c r="L20" s="32">
        <v>42859</v>
      </c>
      <c r="M20" s="33">
        <v>0</v>
      </c>
    </row>
    <row r="21" spans="2:18" x14ac:dyDescent="0.3">
      <c r="B21" s="26"/>
      <c r="C21" s="20"/>
      <c r="D21" s="12"/>
      <c r="E21" s="12"/>
      <c r="F21" s="12" t="s">
        <v>11</v>
      </c>
      <c r="G21" s="11">
        <f>G27/F27</f>
        <v>0.70937499999999998</v>
      </c>
      <c r="J21" s="34" t="s">
        <v>43</v>
      </c>
      <c r="K21" t="s">
        <v>39</v>
      </c>
      <c r="L21" s="32">
        <v>42860</v>
      </c>
      <c r="M21" s="33">
        <v>0</v>
      </c>
    </row>
    <row r="22" spans="2:18" x14ac:dyDescent="0.3">
      <c r="B22" s="26"/>
      <c r="C22" s="20"/>
      <c r="D22" s="12"/>
      <c r="E22" s="12" t="s">
        <v>19</v>
      </c>
      <c r="F22" s="12" t="s">
        <v>24</v>
      </c>
      <c r="G22" s="14" t="s">
        <v>25</v>
      </c>
      <c r="J22" s="34" t="s">
        <v>43</v>
      </c>
      <c r="K22" t="s">
        <v>39</v>
      </c>
      <c r="L22" s="32">
        <v>42863</v>
      </c>
      <c r="M22" s="33">
        <v>0</v>
      </c>
    </row>
    <row r="23" spans="2:18" x14ac:dyDescent="0.3">
      <c r="B23" s="26"/>
      <c r="C23" s="20"/>
      <c r="D23" s="12"/>
      <c r="E23" s="12" t="s">
        <v>23</v>
      </c>
      <c r="F23" s="15">
        <v>320</v>
      </c>
      <c r="G23" s="16">
        <v>227</v>
      </c>
      <c r="J23" s="34" t="s">
        <v>44</v>
      </c>
      <c r="K23" t="s">
        <v>34</v>
      </c>
      <c r="L23" s="32">
        <v>42858</v>
      </c>
      <c r="M23" s="33">
        <v>5.59</v>
      </c>
    </row>
    <row r="24" spans="2:18" x14ac:dyDescent="0.3">
      <c r="B24" s="26"/>
      <c r="C24" s="20"/>
      <c r="D24" s="12"/>
      <c r="E24" s="12"/>
      <c r="F24" s="15"/>
      <c r="G24" s="16"/>
      <c r="J24" s="34" t="s">
        <v>44</v>
      </c>
      <c r="K24" t="s">
        <v>39</v>
      </c>
      <c r="L24" s="32">
        <v>42859</v>
      </c>
      <c r="M24" s="33">
        <v>0</v>
      </c>
    </row>
    <row r="25" spans="2:18" x14ac:dyDescent="0.3">
      <c r="B25" s="27" t="s">
        <v>17</v>
      </c>
      <c r="C25" s="23" t="s">
        <v>27</v>
      </c>
      <c r="D25" s="12"/>
      <c r="E25" s="12"/>
      <c r="F25" s="15"/>
      <c r="G25" s="16"/>
      <c r="J25" s="34" t="s">
        <v>44</v>
      </c>
      <c r="K25" t="s">
        <v>39</v>
      </c>
      <c r="L25" s="32">
        <v>42860</v>
      </c>
      <c r="M25" s="33">
        <v>0</v>
      </c>
    </row>
    <row r="26" spans="2:18" x14ac:dyDescent="0.3">
      <c r="B26" s="27" t="s">
        <v>18</v>
      </c>
      <c r="C26" s="23" t="s">
        <v>13</v>
      </c>
      <c r="D26" s="12"/>
      <c r="E26" s="12"/>
      <c r="F26" s="15"/>
      <c r="G26" s="16"/>
      <c r="J26" s="34" t="s">
        <v>44</v>
      </c>
      <c r="K26" t="s">
        <v>39</v>
      </c>
      <c r="L26" s="32">
        <v>42863</v>
      </c>
      <c r="M26" s="33">
        <v>0</v>
      </c>
    </row>
    <row r="27" spans="2:18" x14ac:dyDescent="0.3">
      <c r="B27" s="21"/>
      <c r="C27" s="22"/>
      <c r="D27" s="17"/>
      <c r="E27" s="17" t="s">
        <v>26</v>
      </c>
      <c r="F27" s="18">
        <f>SUM(F23:F26)</f>
        <v>320</v>
      </c>
      <c r="G27" s="19">
        <f>SUM(G23:G26)</f>
        <v>227</v>
      </c>
      <c r="J27" t="s">
        <v>7</v>
      </c>
      <c r="K27" t="s">
        <v>49</v>
      </c>
      <c r="L27" s="32">
        <v>42857</v>
      </c>
      <c r="M27" s="33">
        <v>6400</v>
      </c>
    </row>
  </sheetData>
  <pageMargins left="0.511811024" right="0.511811024" top="0.78740157499999996" bottom="0.78740157499999996" header="0.31496062000000002" footer="0.3149606200000000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A0914CCE-EB23-4D39-ADF4-2C43CDAB89AF}">
            <x14:iconSet iconSet="3Sign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TrafficLights1" iconId="2"/>
              <x14:cfIcon iconSet="3Signs" iconId="1"/>
              <x14:cfIcon iconSet="3Signs" iconId="0"/>
            </x14:iconSet>
          </x14:cfRule>
          <xm:sqref>G2</xm:sqref>
        </x14:conditionalFormatting>
        <x14:conditionalFormatting xmlns:xm="http://schemas.microsoft.com/office/excel/2006/main">
          <x14:cfRule type="iconSet" priority="7" id="{D32B2FE0-EF90-4E89-AC48-BA7AF3F2165F}">
            <x14:iconSet iconSet="3Sign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TrafficLights1" iconId="2"/>
              <x14:cfIcon iconSet="3Signs" iconId="1"/>
              <x14:cfIcon iconSet="3Signs" iconId="0"/>
            </x14:iconSet>
          </x14:cfRule>
          <xm:sqref>G3</xm:sqref>
        </x14:conditionalFormatting>
        <x14:conditionalFormatting xmlns:xm="http://schemas.microsoft.com/office/excel/2006/main">
          <x14:cfRule type="iconSet" priority="5" id="{2E109953-D956-4F99-85E7-A1C1AE5E6D30}">
            <x14:iconSet iconSet="3Sign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TrafficLights1" iconId="2"/>
              <x14:cfIcon iconSet="3Signs" iconId="1"/>
              <x14:cfIcon iconSet="3Signs" iconId="0"/>
            </x14:iconSet>
          </x14:cfRule>
          <xm:sqref>G11</xm:sqref>
        </x14:conditionalFormatting>
        <x14:conditionalFormatting xmlns:xm="http://schemas.microsoft.com/office/excel/2006/main">
          <x14:cfRule type="iconSet" priority="4" id="{FA68AC92-744A-4509-B4E2-9AC67005B62F}">
            <x14:iconSet iconSet="3Sign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TrafficLights1" iconId="2"/>
              <x14:cfIcon iconSet="3Signs" iconId="1"/>
              <x14:cfIcon iconSet="3Signs" iconId="0"/>
            </x14:iconSet>
          </x14:cfRule>
          <xm:sqref>G12</xm:sqref>
        </x14:conditionalFormatting>
        <x14:conditionalFormatting xmlns:xm="http://schemas.microsoft.com/office/excel/2006/main">
          <x14:cfRule type="iconSet" priority="2" id="{19F73421-C34F-493E-AA9C-8225CF1DAFB7}">
            <x14:iconSet iconSet="3Sign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TrafficLights1" iconId="2"/>
              <x14:cfIcon iconSet="3Signs" iconId="1"/>
              <x14:cfIcon iconSet="3Sign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1" id="{1AC7CDF2-7E90-4FD2-8650-A34B0C3AFFC4}">
            <x14:iconSet iconSet="3Signs" custom="1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  <x14:cfIcon iconSet="3TrafficLights1" iconId="2"/>
              <x14:cfIcon iconSet="3Signs" iconId="1"/>
              <x14:cfIcon iconSet="3Signs" iconId="0"/>
            </x14:iconSet>
          </x14:cfRule>
          <xm:sqref>G21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W34"/>
  <sheetViews>
    <sheetView zoomScale="85" zoomScaleNormal="85" workbookViewId="0">
      <selection activeCell="H23" sqref="H23"/>
    </sheetView>
  </sheetViews>
  <sheetFormatPr defaultRowHeight="16.5" x14ac:dyDescent="0.3"/>
  <cols>
    <col min="2" max="2" width="2.75" customWidth="1"/>
    <col min="3" max="3" width="9.625" customWidth="1"/>
    <col min="5" max="5" width="11.625" customWidth="1"/>
    <col min="7" max="9" width="10.5" customWidth="1"/>
    <col min="14" max="14" width="1.75" customWidth="1"/>
    <col min="19" max="19" width="13" customWidth="1"/>
    <col min="20" max="20" width="10.5" customWidth="1"/>
    <col min="21" max="21" width="2.875" customWidth="1"/>
    <col min="23" max="23" width="12.25" customWidth="1"/>
  </cols>
  <sheetData>
    <row r="2" spans="2:23" x14ac:dyDescent="0.3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</row>
    <row r="3" spans="2:23" x14ac:dyDescent="0.3">
      <c r="B3" s="3"/>
      <c r="C3" s="3"/>
      <c r="D3" s="3"/>
      <c r="E3" s="3"/>
      <c r="F3" s="3"/>
      <c r="G3" s="3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W3" s="40" t="s">
        <v>55</v>
      </c>
    </row>
    <row r="4" spans="2:23" x14ac:dyDescent="0.3">
      <c r="B4" s="3"/>
      <c r="C4" s="3"/>
      <c r="D4" s="3"/>
      <c r="E4" s="3"/>
      <c r="F4" s="3"/>
      <c r="G4" s="3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W4" s="41" t="s">
        <v>52</v>
      </c>
    </row>
    <row r="5" spans="2:23" x14ac:dyDescent="0.3">
      <c r="B5" s="3"/>
      <c r="C5" s="3"/>
      <c r="D5" s="3"/>
      <c r="E5" s="3"/>
      <c r="F5" s="3"/>
      <c r="G5" s="3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W5" s="41" t="s">
        <v>54</v>
      </c>
    </row>
    <row r="6" spans="2:23" x14ac:dyDescent="0.3">
      <c r="B6" s="3"/>
      <c r="C6" s="3"/>
      <c r="D6" s="3"/>
      <c r="E6" s="3"/>
      <c r="F6" s="3"/>
      <c r="G6" s="3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 t="s">
        <v>8</v>
      </c>
      <c r="U6" s="2"/>
      <c r="W6" s="41" t="s">
        <v>53</v>
      </c>
    </row>
    <row r="7" spans="2:23" x14ac:dyDescent="0.3">
      <c r="B7" s="3"/>
      <c r="C7" s="3"/>
      <c r="D7" s="3"/>
      <c r="E7" s="3"/>
      <c r="F7" s="3"/>
      <c r="G7" s="3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35">
        <v>42855</v>
      </c>
      <c r="U7" s="2"/>
      <c r="W7" s="41"/>
    </row>
    <row r="8" spans="2:23" x14ac:dyDescent="0.3">
      <c r="B8" s="1"/>
      <c r="C8" s="1"/>
      <c r="D8" s="1"/>
      <c r="E8" s="36">
        <f>$T$7</f>
        <v>42855</v>
      </c>
      <c r="F8" s="36">
        <f>E8+1</f>
        <v>42856</v>
      </c>
      <c r="G8" s="36">
        <f t="shared" ref="G8:L8" si="0">F8+1</f>
        <v>42857</v>
      </c>
      <c r="H8" s="36">
        <f t="shared" si="0"/>
        <v>42858</v>
      </c>
      <c r="I8" s="36">
        <f t="shared" si="0"/>
        <v>42859</v>
      </c>
      <c r="J8" s="36">
        <f t="shared" si="0"/>
        <v>42860</v>
      </c>
      <c r="K8" s="36">
        <f t="shared" si="0"/>
        <v>42861</v>
      </c>
      <c r="L8" s="36">
        <f t="shared" si="0"/>
        <v>42862</v>
      </c>
      <c r="M8" s="1"/>
      <c r="N8" s="1"/>
      <c r="O8" s="1"/>
      <c r="P8" s="1"/>
      <c r="Q8" s="1"/>
      <c r="R8" s="1"/>
      <c r="S8" s="1"/>
      <c r="T8" s="1"/>
      <c r="U8" s="1"/>
      <c r="W8" s="41"/>
    </row>
    <row r="9" spans="2:23" x14ac:dyDescent="0.3">
      <c r="B9" s="1"/>
      <c r="C9" s="4" t="s">
        <v>50</v>
      </c>
      <c r="D9" s="4"/>
      <c r="E9" s="6" t="s">
        <v>6</v>
      </c>
      <c r="F9" s="6" t="s">
        <v>0</v>
      </c>
      <c r="G9" s="6" t="s">
        <v>1</v>
      </c>
      <c r="H9" s="6" t="s">
        <v>3</v>
      </c>
      <c r="I9" s="6" t="s">
        <v>2</v>
      </c>
      <c r="J9" s="6" t="s">
        <v>4</v>
      </c>
      <c r="K9" s="6" t="s">
        <v>5</v>
      </c>
      <c r="L9" s="6" t="s">
        <v>6</v>
      </c>
      <c r="M9" s="4"/>
      <c r="N9" s="1"/>
      <c r="O9" s="4"/>
      <c r="P9" s="4"/>
      <c r="Q9" s="4"/>
      <c r="R9" s="4"/>
      <c r="S9" s="4"/>
      <c r="T9" s="4"/>
      <c r="U9" s="1"/>
      <c r="W9" s="41"/>
    </row>
    <row r="10" spans="2:23" x14ac:dyDescent="0.3">
      <c r="B10" s="1"/>
      <c r="C10" s="5" t="s">
        <v>34</v>
      </c>
      <c r="D10" s="4"/>
      <c r="E10" s="9">
        <f>IF(ISERR(GETPIVOTDATA("GB",DataBase!$P$2,"TIPO",$C10,"DATA",DATE(YEAR(E$8),MONTH(E$8),DAY(E$8)))),0,GETPIVOTDATA("GB",DataBase!$P$2,"TIPO",$C10,"DATA",DATE(YEAR(E$8),MONTH(E$8),DAY(E$8))))</f>
        <v>0</v>
      </c>
      <c r="F10" s="9">
        <f>IF(ISERR(GETPIVOTDATA("GB",DataBase!$P$2,"TIPO",$C10,"DATA",DATE(YEAR(F$8),MONTH(F$8),DAY(F$8)))),0,GETPIVOTDATA("GB",DataBase!$P$2,"TIPO",$C10,"DATA",DATE(YEAR(F$8),MONTH(F$8),DAY(F$8))))</f>
        <v>0</v>
      </c>
      <c r="G10" s="9">
        <f>IF(ISERR(GETPIVOTDATA("GB",DataBase!$P$2,"TIPO",$C10,"DATA",DATE(YEAR(G$8),MONTH(G$8),DAY(G$8)))),0,GETPIVOTDATA("GB",DataBase!$P$2,"TIPO",$C10,"DATA",DATE(YEAR(G$8),MONTH(G$8),DAY(G$8))))</f>
        <v>0</v>
      </c>
      <c r="H10" s="9">
        <f>IF(ISERR(GETPIVOTDATA("GB",DataBase!$P$2,"TIPO",$C10,"DATA",DATE(YEAR(H$8),MONTH(H$8),DAY(H$8)))),0,GETPIVOTDATA("GB",DataBase!$P$2,"TIPO",$C10,"DATA",DATE(YEAR(H$8),MONTH(H$8),DAY(H$8))))</f>
        <v>79.34</v>
      </c>
      <c r="I10" s="9">
        <f>IF(ISERR(GETPIVOTDATA("GB",DataBase!$P$2,"TIPO",$C10,"DATA",DATE(YEAR(I$8),MONTH(I$8),DAY(I$8)))),0,GETPIVOTDATA("GB",DataBase!$P$2,"TIPO",$C10,"DATA",DATE(YEAR(I$8),MONTH(I$8),DAY(I$8))))</f>
        <v>0</v>
      </c>
      <c r="J10" s="9">
        <f>IF(ISERR(GETPIVOTDATA("GB",DataBase!$P$2,"TIPO",$C10,"DATA",DATE(YEAR(J$8),MONTH(J$8),DAY(J$8)))),0,GETPIVOTDATA("GB",DataBase!$P$2,"TIPO",$C10,"DATA",DATE(YEAR(J$8),MONTH(J$8),DAY(J$8))))</f>
        <v>0</v>
      </c>
      <c r="K10" s="9">
        <f>IF(ISERR(GETPIVOTDATA("GB",DataBase!$P$2,"TIPO",$C10,"DATA",DATE(YEAR(K$8),MONTH(K$8),DAY(K$8)))),0,GETPIVOTDATA("GB",DataBase!$P$2,"TIPO",$C10,"DATA",DATE(YEAR(K$8),MONTH(K$8),DAY(K$8))))</f>
        <v>0</v>
      </c>
      <c r="L10" s="9">
        <f>IF(ISERR(GETPIVOTDATA("GB",DataBase!$P$2,"TIPO",$C10,"DATA",DATE(YEAR(L$8),MONTH(L$8),DAY(L$8)))),0,GETPIVOTDATA("GB",DataBase!$P$2,"TIPO",$C10,"DATA",DATE(YEAR(L$8),MONTH(L$8),DAY(L$8))))</f>
        <v>0</v>
      </c>
      <c r="M10" s="4"/>
      <c r="N10" s="1"/>
      <c r="O10" s="4"/>
      <c r="P10" s="4"/>
      <c r="Q10" s="4" t="s">
        <v>9</v>
      </c>
      <c r="R10" s="4"/>
      <c r="S10" s="4" t="s">
        <v>57</v>
      </c>
      <c r="T10" s="7">
        <f>DataBase!G2</f>
        <v>0.95511329291301084</v>
      </c>
      <c r="U10" s="1"/>
    </row>
    <row r="11" spans="2:23" x14ac:dyDescent="0.3">
      <c r="B11" s="1"/>
      <c r="C11" s="5" t="s">
        <v>39</v>
      </c>
      <c r="D11" s="4"/>
      <c r="E11" s="9">
        <f>IF(ISERR(GETPIVOTDATA("GB",DataBase!$P$2,"TIPO",$C11,"DATA",DATE(YEAR(E$8),MONTH(E$8),DAY(E$8)))),0,GETPIVOTDATA("GB",DataBase!$P$2,"TIPO",$C11,"DATA",DATE(YEAR(E$8),MONTH(E$8),DAY(E$8))))</f>
        <v>0</v>
      </c>
      <c r="F11" s="9">
        <f>IF(ISERR(GETPIVOTDATA("GB",DataBase!$P$2,"TIPO",$C11,"DATA",DATE(YEAR(F$8),MONTH(F$8),DAY(F$8)))),0,GETPIVOTDATA("GB",DataBase!$P$2,"TIPO",$C11,"DATA",DATE(YEAR(F$8),MONTH(F$8),DAY(F$8))))</f>
        <v>0</v>
      </c>
      <c r="G11" s="9">
        <f>IF(ISERR(GETPIVOTDATA("GB",DataBase!$P$2,"TIPO",$C11,"DATA",DATE(YEAR(G$8),MONTH(G$8),DAY(G$8)))),0,GETPIVOTDATA("GB",DataBase!$P$2,"TIPO",$C11,"DATA",DATE(YEAR(G$8),MONTH(G$8),DAY(G$8))))</f>
        <v>0</v>
      </c>
      <c r="H11" s="9">
        <f>IF(ISERR(GETPIVOTDATA("GB",DataBase!$P$2,"TIPO",$C11,"DATA",DATE(YEAR(H$8),MONTH(H$8),DAY(H$8)))),0,GETPIVOTDATA("GB",DataBase!$P$2,"TIPO",$C11,"DATA",DATE(YEAR(H$8),MONTH(H$8),DAY(H$8))))</f>
        <v>0</v>
      </c>
      <c r="I11" s="9">
        <f>IF(ISERR(GETPIVOTDATA("GB",DataBase!$P$2,"TIPO",$C11,"DATA",DATE(YEAR(I$8),MONTH(I$8),DAY(I$8)))),0,GETPIVOTDATA("GB",DataBase!$P$2,"TIPO",$C11,"DATA",DATE(YEAR(I$8),MONTH(I$8),DAY(I$8))))</f>
        <v>2.5899999999999999E-2</v>
      </c>
      <c r="J11" s="9">
        <f>IF(ISERR(GETPIVOTDATA("GB",DataBase!$P$2,"TIPO",$C11,"DATA",DATE(YEAR(J$8),MONTH(J$8),DAY(J$8)))),0,GETPIVOTDATA("GB",DataBase!$P$2,"TIPO",$C11,"DATA",DATE(YEAR(J$8),MONTH(J$8),DAY(J$8))))</f>
        <v>0.45816999999999997</v>
      </c>
      <c r="K11" s="9">
        <f>IF(ISERR(GETPIVOTDATA("GB",DataBase!$P$2,"TIPO",$C11,"DATA",DATE(YEAR(K$8),MONTH(K$8),DAY(K$8)))),0,GETPIVOTDATA("GB",DataBase!$P$2,"TIPO",$C11,"DATA",DATE(YEAR(K$8),MONTH(K$8),DAY(K$8))))</f>
        <v>0</v>
      </c>
      <c r="L11" s="9">
        <f>IF(ISERR(GETPIVOTDATA("GB",DataBase!$P$2,"TIPO",$C11,"DATA",DATE(YEAR(L$8),MONTH(L$8),DAY(L$8)))),0,GETPIVOTDATA("GB",DataBase!$P$2,"TIPO",$C11,"DATA",DATE(YEAR(L$8),MONTH(L$8),DAY(L$8))))</f>
        <v>0</v>
      </c>
      <c r="M11" s="4"/>
      <c r="N11" s="1"/>
      <c r="O11" s="4"/>
      <c r="P11" s="4"/>
      <c r="Q11" s="4" t="s">
        <v>10</v>
      </c>
      <c r="R11" s="4"/>
      <c r="S11" s="4" t="s">
        <v>29</v>
      </c>
      <c r="T11" s="28">
        <f>DataBase!F9-DataBase!G9</f>
        <v>5214.25</v>
      </c>
      <c r="U11" s="1"/>
    </row>
    <row r="12" spans="2:23" x14ac:dyDescent="0.3">
      <c r="B12" s="1"/>
      <c r="C12" s="4" t="s">
        <v>49</v>
      </c>
      <c r="D12" s="4"/>
      <c r="E12" s="9">
        <f>IF(ISERR(GETPIVOTDATA("GB",DataBase!$P$2,"TIPO",$C12,"DATA",DATE(YEAR(E$8),MONTH(E$8),DAY(E$8)))),0,GETPIVOTDATA("GB",DataBase!$P$2,"TIPO",$C12,"DATA",DATE(YEAR(E$8),MONTH(E$8),DAY(E$8))))</f>
        <v>0</v>
      </c>
      <c r="F12" s="9">
        <f>IF(ISERR(GETPIVOTDATA("GB",DataBase!$P$2,"TIPO",$C12,"DATA",DATE(YEAR(F$8),MONTH(F$8),DAY(F$8)))),0,GETPIVOTDATA("GB",DataBase!$P$2,"TIPO",$C12,"DATA",DATE(YEAR(F$8),MONTH(F$8),DAY(F$8))))</f>
        <v>0</v>
      </c>
      <c r="G12" s="9">
        <f>IF(ISERR(GETPIVOTDATA("GB",DataBase!$P$2,"TIPO",$C12,"DATA",DATE(YEAR(G$8),MONTH(G$8),DAY(G$8)))),0,GETPIVOTDATA("GB",DataBase!$P$2,"TIPO",$C12,"DATA",DATE(YEAR(G$8),MONTH(G$8),DAY(G$8))))</f>
        <v>6400</v>
      </c>
      <c r="H12" s="9">
        <f>IF(ISERR(GETPIVOTDATA("GB",DataBase!$P$2,"TIPO",$C12,"DATA",DATE(YEAR(H$8),MONTH(H$8),DAY(H$8)))),0,GETPIVOTDATA("GB",DataBase!$P$2,"TIPO",$C12,"DATA",DATE(YEAR(H$8),MONTH(H$8),DAY(H$8))))</f>
        <v>0</v>
      </c>
      <c r="I12" s="9">
        <f>IF(ISERR(GETPIVOTDATA("GB",DataBase!$P$2,"TIPO",$C12,"DATA",DATE(YEAR(I$8),MONTH(I$8),DAY(I$8)))),0,GETPIVOTDATA("GB",DataBase!$P$2,"TIPO",$C12,"DATA",DATE(YEAR(I$8),MONTH(I$8),DAY(I$8))))</f>
        <v>0</v>
      </c>
      <c r="J12" s="9">
        <f>IF(ISERR(GETPIVOTDATA("GB",DataBase!$P$2,"TIPO",$C12,"DATA",DATE(YEAR(J$8),MONTH(J$8),DAY(J$8)))),0,GETPIVOTDATA("GB",DataBase!$P$2,"TIPO",$C12,"DATA",DATE(YEAR(J$8),MONTH(J$8),DAY(J$8))))</f>
        <v>0</v>
      </c>
      <c r="K12" s="9">
        <f>IF(ISERR(GETPIVOTDATA("GB",DataBase!$P$2,"TIPO",$C12,"DATA",DATE(YEAR(K$8),MONTH(K$8),DAY(K$8)))),0,GETPIVOTDATA("GB",DataBase!$P$2,"TIPO",$C12,"DATA",DATE(YEAR(K$8),MONTH(K$8),DAY(K$8))))</f>
        <v>0</v>
      </c>
      <c r="L12" s="9">
        <f>IF(ISERR(GETPIVOTDATA("GB",DataBase!$P$2,"TIPO",$C12,"DATA",DATE(YEAR(L$8),MONTH(L$8),DAY(L$8)))),0,GETPIVOTDATA("GB",DataBase!$P$2,"TIPO",$C12,"DATA",DATE(YEAR(L$8),MONTH(L$8),DAY(L$8))))</f>
        <v>0</v>
      </c>
      <c r="M12" s="4"/>
      <c r="N12" s="1"/>
      <c r="O12" s="4"/>
      <c r="P12" s="4"/>
      <c r="Q12" s="4" t="s">
        <v>15</v>
      </c>
      <c r="R12" s="4"/>
      <c r="S12" s="4"/>
      <c r="T12" s="6"/>
      <c r="U12" s="1"/>
    </row>
    <row r="13" spans="2:23" x14ac:dyDescent="0.3">
      <c r="B13" s="1"/>
      <c r="C13" s="4" t="s">
        <v>51</v>
      </c>
      <c r="D13" s="4"/>
      <c r="E13" s="6" t="s">
        <v>53</v>
      </c>
      <c r="F13" s="6" t="s">
        <v>53</v>
      </c>
      <c r="G13" s="6" t="s">
        <v>54</v>
      </c>
      <c r="H13" s="6" t="s">
        <v>54</v>
      </c>
      <c r="I13" s="6" t="s">
        <v>54</v>
      </c>
      <c r="J13" s="6" t="s">
        <v>52</v>
      </c>
      <c r="K13" s="6"/>
      <c r="L13" s="6"/>
      <c r="M13" s="4"/>
      <c r="N13" s="1"/>
      <c r="O13" s="4"/>
      <c r="P13" s="4"/>
      <c r="Q13" s="4" t="s">
        <v>9</v>
      </c>
      <c r="R13" s="4"/>
      <c r="S13" s="4" t="s">
        <v>57</v>
      </c>
      <c r="T13" s="29">
        <f>DataBase!G11</f>
        <v>0.89093750000000005</v>
      </c>
      <c r="U13" s="1"/>
    </row>
    <row r="14" spans="2:23" x14ac:dyDescent="0.3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4"/>
      <c r="P14" s="4"/>
      <c r="Q14" s="4" t="s">
        <v>12</v>
      </c>
      <c r="R14" s="4"/>
      <c r="S14" s="4" t="s">
        <v>29</v>
      </c>
      <c r="T14" s="28">
        <f>DataBase!F18-DataBase!G18</f>
        <v>285.10000000000002</v>
      </c>
      <c r="U14" s="1"/>
    </row>
    <row r="15" spans="2:23" x14ac:dyDescent="0.3">
      <c r="B15" s="1"/>
      <c r="C15" s="4" t="s">
        <v>56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1"/>
      <c r="O15" s="4"/>
      <c r="P15" s="4"/>
      <c r="Q15" s="4"/>
      <c r="R15" s="4"/>
      <c r="S15" s="4"/>
      <c r="T15" s="6"/>
      <c r="U15" s="1"/>
    </row>
    <row r="16" spans="2:23" x14ac:dyDescent="0.3">
      <c r="B16" s="1"/>
      <c r="C16" s="4" t="s">
        <v>38</v>
      </c>
      <c r="D16" s="4"/>
      <c r="E16" s="42">
        <v>42858</v>
      </c>
      <c r="F16" s="42"/>
      <c r="G16" s="42"/>
      <c r="H16" s="42"/>
      <c r="I16" s="42"/>
      <c r="J16" s="42"/>
      <c r="K16" s="42"/>
      <c r="L16" s="42"/>
      <c r="M16" s="4"/>
      <c r="N16" s="1"/>
      <c r="O16" s="4"/>
      <c r="P16" s="4"/>
      <c r="Q16" s="4" t="s">
        <v>9</v>
      </c>
      <c r="R16" s="4"/>
      <c r="S16" s="4" t="s">
        <v>57</v>
      </c>
      <c r="T16" s="29">
        <f>DataBase!G20</f>
        <v>0.29062500000000002</v>
      </c>
      <c r="U16" s="1"/>
    </row>
    <row r="17" spans="2:21" x14ac:dyDescent="0.3">
      <c r="B17" s="1"/>
      <c r="C17" s="4" t="s">
        <v>33</v>
      </c>
      <c r="D17" s="4"/>
      <c r="E17" s="4">
        <f>IF(ISERR(GETPIVOTDATA("GB",DataBase!$P$10,"TAREFA",$C17,"DATA",DATE(YEAR(E$16),MONTH(E$16),DAY(E$16)))),0,GETPIVOTDATA("GB",DataBase!$P$10,"TAREFA",$C17,"DATA",DATE(YEAR(E$16),MONTH(E$16),DAY(E$16))))</f>
        <v>39.9</v>
      </c>
      <c r="F17" s="4">
        <f>IF(ISERR(GETPIVOTDATA("GB",DataBase!$P$10,"TAREFA",$C17,"DATA",DATE(YEAR(F$16),MONTH(F$16),DAY(F$16)))),0,GETPIVOTDATA("GB",DataBase!$P$10,"TAREFA",$C17,"DATA",DATE(YEAR(F$16),MONTH(F$16),DAY(F$16))))</f>
        <v>0</v>
      </c>
      <c r="G17" s="4">
        <f>IF(ISERR(GETPIVOTDATA("GB",DataBase!$P$10,"TAREFA",$C17,"DATA",DATE(YEAR(G$16),MONTH(G$16),DAY(G$16)))),0,GETPIVOTDATA("GB",DataBase!$P$10,"TAREFA",$C17,"DATA",DATE(YEAR(G$16),MONTH(G$16),DAY(G$16))))</f>
        <v>0</v>
      </c>
      <c r="H17" s="4">
        <f>IF(ISERR(GETPIVOTDATA("GB",DataBase!$P$10,"TAREFA",$C17,"DATA",DATE(YEAR(H$16),MONTH(H$16),DAY(H$16)))),0,GETPIVOTDATA("GB",DataBase!$P$10,"TAREFA",$C17,"DATA",DATE(YEAR(H$16),MONTH(H$16),DAY(H$16))))</f>
        <v>0</v>
      </c>
      <c r="I17" s="4">
        <f>IF(ISERR(GETPIVOTDATA("GB",DataBase!$P$10,"TAREFA",$C17,"DATA",DATE(YEAR(I$16),MONTH(I$16),DAY(I$16)))),0,GETPIVOTDATA("GB",DataBase!$P$10,"TAREFA",$C17,"DATA",DATE(YEAR(I$16),MONTH(I$16),DAY(I$16))))</f>
        <v>0</v>
      </c>
      <c r="J17" s="4">
        <f>IF(ISERR(GETPIVOTDATA("GB",DataBase!$P$10,"TAREFA",$C17,"DATA",DATE(YEAR(J$16),MONTH(J$16),DAY(J$16)))),0,GETPIVOTDATA("GB",DataBase!$P$10,"TAREFA",$C17,"DATA",DATE(YEAR(J$16),MONTH(J$16),DAY(J$16))))</f>
        <v>0</v>
      </c>
      <c r="K17" s="4">
        <f>IF(ISERR(GETPIVOTDATA("GB",DataBase!$P$10,"TAREFA",$C17,"DATA",DATE(YEAR(K$16),MONTH(K$16),DAY(K$16)))),0,GETPIVOTDATA("GB",DataBase!$P$10,"TAREFA",$C17,"DATA",DATE(YEAR(K$16),MONTH(K$16),DAY(K$16))))</f>
        <v>0</v>
      </c>
      <c r="L17" s="4">
        <f>IF(ISERR(GETPIVOTDATA("GB",DataBase!$P$10,"TAREFA",$C17,"DATA",DATE(YEAR(L$16),MONTH(L$16),DAY(L$16)))),0,GETPIVOTDATA("GB",DataBase!$P$10,"TAREFA",$C17,"DATA",DATE(YEAR(L$16),MONTH(L$16),DAY(L$16))))</f>
        <v>0</v>
      </c>
      <c r="M17" s="4"/>
      <c r="N17" s="1"/>
      <c r="O17" s="4"/>
      <c r="P17" s="4"/>
      <c r="Q17" s="4" t="s">
        <v>13</v>
      </c>
      <c r="R17" s="4"/>
      <c r="S17" s="4" t="s">
        <v>29</v>
      </c>
      <c r="T17" s="28">
        <f>DataBase!F27-DataBase!G27</f>
        <v>93</v>
      </c>
      <c r="U17" s="1"/>
    </row>
    <row r="18" spans="2:21" x14ac:dyDescent="0.3">
      <c r="B18" s="1"/>
      <c r="C18" s="4" t="s">
        <v>42</v>
      </c>
      <c r="D18" s="4"/>
      <c r="E18" s="4">
        <f>IF(ISERR(GETPIVOTDATA("GB",DataBase!$P$10,"TAREFA",$C18,"DATA",DATE(YEAR(E$16),MONTH(E$16),DAY(E$16)))),0,GETPIVOTDATA("GB",DataBase!$P$10,"TAREFA",$C18,"DATA",DATE(YEAR(E$16),MONTH(E$16),DAY(E$16))))</f>
        <v>17.2</v>
      </c>
      <c r="F18" s="4">
        <f>IF(ISERR(GETPIVOTDATA("GB",DataBase!$P$10,"TAREFA",$C18,"DATA",DATE(YEAR(F$16),MONTH(F$16),DAY(F$16)))),0,GETPIVOTDATA("GB",DataBase!$P$10,"TAREFA",$C18,"DATA",DATE(YEAR(F$16),MONTH(F$16),DAY(F$16))))</f>
        <v>0</v>
      </c>
      <c r="G18" s="4">
        <f>IF(ISERR(GETPIVOTDATA("GB",DataBase!$P$10,"TAREFA",$C18,"DATA",DATE(YEAR(G$16),MONTH(G$16),DAY(G$16)))),0,GETPIVOTDATA("GB",DataBase!$P$10,"TAREFA",$C18,"DATA",DATE(YEAR(G$16),MONTH(G$16),DAY(G$16))))</f>
        <v>0</v>
      </c>
      <c r="H18" s="4">
        <f>IF(ISERR(GETPIVOTDATA("GB",DataBase!$P$10,"TAREFA",$C18,"DATA",DATE(YEAR(H$16),MONTH(H$16),DAY(H$16)))),0,GETPIVOTDATA("GB",DataBase!$P$10,"TAREFA",$C18,"DATA",DATE(YEAR(H$16),MONTH(H$16),DAY(H$16))))</f>
        <v>0</v>
      </c>
      <c r="I18" s="4">
        <f>IF(ISERR(GETPIVOTDATA("GB",DataBase!$P$10,"TAREFA",$C18,"DATA",DATE(YEAR(I$16),MONTH(I$16),DAY(I$16)))),0,GETPIVOTDATA("GB",DataBase!$P$10,"TAREFA",$C18,"DATA",DATE(YEAR(I$16),MONTH(I$16),DAY(I$16))))</f>
        <v>0</v>
      </c>
      <c r="J18" s="4">
        <f>IF(ISERR(GETPIVOTDATA("GB",DataBase!$P$10,"TAREFA",$C18,"DATA",DATE(YEAR(J$16),MONTH(J$16),DAY(J$16)))),0,GETPIVOTDATA("GB",DataBase!$P$10,"TAREFA",$C18,"DATA",DATE(YEAR(J$16),MONTH(J$16),DAY(J$16))))</f>
        <v>0</v>
      </c>
      <c r="K18" s="4">
        <f>IF(ISERR(GETPIVOTDATA("GB",DataBase!$P$10,"TAREFA",$C18,"DATA",DATE(YEAR(K$16),MONTH(K$16),DAY(K$16)))),0,GETPIVOTDATA("GB",DataBase!$P$10,"TAREFA",$C18,"DATA",DATE(YEAR(K$16),MONTH(K$16),DAY(K$16))))</f>
        <v>0</v>
      </c>
      <c r="L18" s="4">
        <f>IF(ISERR(GETPIVOTDATA("GB",DataBase!$P$10,"TAREFA",$C18,"DATA",DATE(YEAR(L$16),MONTH(L$16),DAY(L$16)))),0,GETPIVOTDATA("GB",DataBase!$P$10,"TAREFA",$C18,"DATA",DATE(YEAR(L$16),MONTH(L$16),DAY(L$16))))</f>
        <v>0</v>
      </c>
      <c r="M18" s="4"/>
      <c r="N18" s="1"/>
      <c r="O18" s="4"/>
      <c r="P18" s="4"/>
      <c r="Q18" s="4"/>
      <c r="R18" s="4"/>
      <c r="S18" s="4"/>
      <c r="T18" s="6"/>
      <c r="U18" s="1"/>
    </row>
    <row r="19" spans="2:21" x14ac:dyDescent="0.3">
      <c r="B19" s="1"/>
      <c r="C19" s="4" t="s">
        <v>41</v>
      </c>
      <c r="D19" s="4"/>
      <c r="E19" s="4">
        <f>IF(ISERR(GETPIVOTDATA("GB",DataBase!$P$10,"TAREFA",$C19,"DATA",DATE(YEAR(E$16),MONTH(E$16),DAY(E$16)))),0,GETPIVOTDATA("GB",DataBase!$P$10,"TAREFA",$C19,"DATA",DATE(YEAR(E$16),MONTH(E$16),DAY(E$16))))</f>
        <v>7.41</v>
      </c>
      <c r="F19" s="4">
        <f>IF(ISERR(GETPIVOTDATA("GB",DataBase!$P$10,"TAREFA",$C19,"DATA",DATE(YEAR(F$16),MONTH(F$16),DAY(F$16)))),0,GETPIVOTDATA("GB",DataBase!$P$10,"TAREFA",$C19,"DATA",DATE(YEAR(F$16),MONTH(F$16),DAY(F$16))))</f>
        <v>0</v>
      </c>
      <c r="G19" s="4">
        <f>IF(ISERR(GETPIVOTDATA("GB",DataBase!$P$10,"TAREFA",$C19,"DATA",DATE(YEAR(G$16),MONTH(G$16),DAY(G$16)))),0,GETPIVOTDATA("GB",DataBase!$P$10,"TAREFA",$C19,"DATA",DATE(YEAR(G$16),MONTH(G$16),DAY(G$16))))</f>
        <v>0</v>
      </c>
      <c r="H19" s="4">
        <f>IF(ISERR(GETPIVOTDATA("GB",DataBase!$P$10,"TAREFA",$C19,"DATA",DATE(YEAR(H$16),MONTH(H$16),DAY(H$16)))),0,GETPIVOTDATA("GB",DataBase!$P$10,"TAREFA",$C19,"DATA",DATE(YEAR(H$16),MONTH(H$16),DAY(H$16))))</f>
        <v>0</v>
      </c>
      <c r="I19" s="4">
        <f>IF(ISERR(GETPIVOTDATA("GB",DataBase!$P$10,"TAREFA",$C19,"DATA",DATE(YEAR(I$16),MONTH(I$16),DAY(I$16)))),0,GETPIVOTDATA("GB",DataBase!$P$10,"TAREFA",$C19,"DATA",DATE(YEAR(I$16),MONTH(I$16),DAY(I$16))))</f>
        <v>0</v>
      </c>
      <c r="J19" s="4">
        <f>IF(ISERR(GETPIVOTDATA("GB",DataBase!$P$10,"TAREFA",$C19,"DATA",DATE(YEAR(J$16),MONTH(J$16),DAY(J$16)))),0,GETPIVOTDATA("GB",DataBase!$P$10,"TAREFA",$C19,"DATA",DATE(YEAR(J$16),MONTH(J$16),DAY(J$16))))</f>
        <v>0</v>
      </c>
      <c r="K19" s="4">
        <f>IF(ISERR(GETPIVOTDATA("GB",DataBase!$P$10,"TAREFA",$C19,"DATA",DATE(YEAR(K$16),MONTH(K$16),DAY(K$16)))),0,GETPIVOTDATA("GB",DataBase!$P$10,"TAREFA",$C19,"DATA",DATE(YEAR(K$16),MONTH(K$16),DAY(K$16))))</f>
        <v>0</v>
      </c>
      <c r="L19" s="4">
        <f>IF(ISERR(GETPIVOTDATA("GB",DataBase!$P$10,"TAREFA",$C19,"DATA",DATE(YEAR(L$16),MONTH(L$16),DAY(L$16)))),0,GETPIVOTDATA("GB",DataBase!$P$10,"TAREFA",$C19,"DATA",DATE(YEAR(L$16),MONTH(L$16),DAY(L$16))))</f>
        <v>0</v>
      </c>
      <c r="M19" s="4"/>
      <c r="N19" s="1"/>
      <c r="O19" s="4"/>
      <c r="P19" s="4"/>
      <c r="Q19" s="4" t="s">
        <v>14</v>
      </c>
      <c r="R19" s="4"/>
      <c r="S19" s="4"/>
      <c r="T19" s="6"/>
      <c r="U19" s="1"/>
    </row>
    <row r="20" spans="2:21" x14ac:dyDescent="0.3">
      <c r="B20" s="1"/>
      <c r="C20" s="4" t="s">
        <v>43</v>
      </c>
      <c r="D20" s="4"/>
      <c r="E20" s="4">
        <f>IF(ISERR(GETPIVOTDATA("GB",DataBase!$P$10,"TAREFA",$C20,"DATA",DATE(YEAR(E$16),MONTH(E$16),DAY(E$16)))),0,GETPIVOTDATA("GB",DataBase!$P$10,"TAREFA",$C20,"DATA",DATE(YEAR(E$16),MONTH(E$16),DAY(E$16))))</f>
        <v>5.59</v>
      </c>
      <c r="F20" s="4">
        <f>IF(ISERR(GETPIVOTDATA("GB",DataBase!$P$10,"TAREFA",$C20,"DATA",DATE(YEAR(F$16),MONTH(F$16),DAY(F$16)))),0,GETPIVOTDATA("GB",DataBase!$P$10,"TAREFA",$C20,"DATA",DATE(YEAR(F$16),MONTH(F$16),DAY(F$16))))</f>
        <v>0</v>
      </c>
      <c r="G20" s="4">
        <f>IF(ISERR(GETPIVOTDATA("GB",DataBase!$P$10,"TAREFA",$C20,"DATA",DATE(YEAR(G$16),MONTH(G$16),DAY(G$16)))),0,GETPIVOTDATA("GB",DataBase!$P$10,"TAREFA",$C20,"DATA",DATE(YEAR(G$16),MONTH(G$16),DAY(G$16))))</f>
        <v>0</v>
      </c>
      <c r="H20" s="4">
        <f>IF(ISERR(GETPIVOTDATA("GB",DataBase!$P$10,"TAREFA",$C20,"DATA",DATE(YEAR(H$16),MONTH(H$16),DAY(H$16)))),0,GETPIVOTDATA("GB",DataBase!$P$10,"TAREFA",$C20,"DATA",DATE(YEAR(H$16),MONTH(H$16),DAY(H$16))))</f>
        <v>0</v>
      </c>
      <c r="I20" s="4">
        <f>IF(ISERR(GETPIVOTDATA("GB",DataBase!$P$10,"TAREFA",$C20,"DATA",DATE(YEAR(I$16),MONTH(I$16),DAY(I$16)))),0,GETPIVOTDATA("GB",DataBase!$P$10,"TAREFA",$C20,"DATA",DATE(YEAR(I$16),MONTH(I$16),DAY(I$16))))</f>
        <v>0</v>
      </c>
      <c r="J20" s="4">
        <f>IF(ISERR(GETPIVOTDATA("GB",DataBase!$P$10,"TAREFA",$C20,"DATA",DATE(YEAR(J$16),MONTH(J$16),DAY(J$16)))),0,GETPIVOTDATA("GB",DataBase!$P$10,"TAREFA",$C20,"DATA",DATE(YEAR(J$16),MONTH(J$16),DAY(J$16))))</f>
        <v>0</v>
      </c>
      <c r="K20" s="4">
        <f>IF(ISERR(GETPIVOTDATA("GB",DataBase!$P$10,"TAREFA",$C20,"DATA",DATE(YEAR(K$16),MONTH(K$16),DAY(K$16)))),0,GETPIVOTDATA("GB",DataBase!$P$10,"TAREFA",$C20,"DATA",DATE(YEAR(K$16),MONTH(K$16),DAY(K$16))))</f>
        <v>0</v>
      </c>
      <c r="L20" s="4">
        <f>IF(ISERR(GETPIVOTDATA("GB",DataBase!$P$10,"TAREFA",$C20,"DATA",DATE(YEAR(L$16),MONTH(L$16),DAY(L$16)))),0,GETPIVOTDATA("GB",DataBase!$P$10,"TAREFA",$C20,"DATA",DATE(YEAR(L$16),MONTH(L$16),DAY(L$16))))</f>
        <v>0</v>
      </c>
      <c r="M20" s="4"/>
      <c r="N20" s="1"/>
      <c r="O20" s="4"/>
      <c r="P20" s="4"/>
      <c r="Q20" s="4" t="s">
        <v>10</v>
      </c>
      <c r="R20" s="4"/>
      <c r="S20" s="4" t="s">
        <v>29</v>
      </c>
      <c r="T20" s="6">
        <v>3.91</v>
      </c>
      <c r="U20" s="1"/>
    </row>
    <row r="21" spans="2:21" x14ac:dyDescent="0.3">
      <c r="B21" s="1"/>
      <c r="C21" s="4" t="s">
        <v>44</v>
      </c>
      <c r="D21" s="4"/>
      <c r="E21" s="4">
        <f>IF(ISERR(GETPIVOTDATA("GB",DataBase!$P$10,"TAREFA",$C21,"DATA",DATE(YEAR(E$16),MONTH(E$16),DAY(E$16)))),0,GETPIVOTDATA("GB",DataBase!$P$10,"TAREFA",$C21,"DATA",DATE(YEAR(E$16),MONTH(E$16),DAY(E$16))))</f>
        <v>5.59</v>
      </c>
      <c r="F21" s="4">
        <f>IF(ISERR(GETPIVOTDATA("GB",DataBase!$P$10,"TAREFA",$C21,"DATA",DATE(YEAR(F$16),MONTH(F$16),DAY(F$16)))),0,GETPIVOTDATA("GB",DataBase!$P$10,"TAREFA",$C21,"DATA",DATE(YEAR(F$16),MONTH(F$16),DAY(F$16))))</f>
        <v>0</v>
      </c>
      <c r="G21" s="4">
        <f>IF(ISERR(GETPIVOTDATA("GB",DataBase!$P$10,"TAREFA",$C21,"DATA",DATE(YEAR(G$16),MONTH(G$16),DAY(G$16)))),0,GETPIVOTDATA("GB",DataBase!$P$10,"TAREFA",$C21,"DATA",DATE(YEAR(G$16),MONTH(G$16),DAY(G$16))))</f>
        <v>0</v>
      </c>
      <c r="H21" s="4">
        <f>IF(ISERR(GETPIVOTDATA("GB",DataBase!$P$10,"TAREFA",$C21,"DATA",DATE(YEAR(H$16),MONTH(H$16),DAY(H$16)))),0,GETPIVOTDATA("GB",DataBase!$P$10,"TAREFA",$C21,"DATA",DATE(YEAR(H$16),MONTH(H$16),DAY(H$16))))</f>
        <v>0</v>
      </c>
      <c r="I21" s="4">
        <f>IF(ISERR(GETPIVOTDATA("GB",DataBase!$P$10,"TAREFA",$C21,"DATA",DATE(YEAR(I$16),MONTH(I$16),DAY(I$16)))),0,GETPIVOTDATA("GB",DataBase!$P$10,"TAREFA",$C21,"DATA",DATE(YEAR(I$16),MONTH(I$16),DAY(I$16))))</f>
        <v>0</v>
      </c>
      <c r="J21" s="4">
        <f>IF(ISERR(GETPIVOTDATA("GB",DataBase!$P$10,"TAREFA",$C21,"DATA",DATE(YEAR(J$16),MONTH(J$16),DAY(J$16)))),0,GETPIVOTDATA("GB",DataBase!$P$10,"TAREFA",$C21,"DATA",DATE(YEAR(J$16),MONTH(J$16),DAY(J$16))))</f>
        <v>0</v>
      </c>
      <c r="K21" s="4">
        <f>IF(ISERR(GETPIVOTDATA("GB",DataBase!$P$10,"TAREFA",$C21,"DATA",DATE(YEAR(K$16),MONTH(K$16),DAY(K$16)))),0,GETPIVOTDATA("GB",DataBase!$P$10,"TAREFA",$C21,"DATA",DATE(YEAR(K$16),MONTH(K$16),DAY(K$16))))</f>
        <v>0</v>
      </c>
      <c r="L21" s="4">
        <f>IF(ISERR(GETPIVOTDATA("GB",DataBase!$P$10,"TAREFA",$C21,"DATA",DATE(YEAR(L$16),MONTH(L$16),DAY(L$16)))),0,GETPIVOTDATA("GB",DataBase!$P$10,"TAREFA",$C21,"DATA",DATE(YEAR(L$16),MONTH(L$16),DAY(L$16))))</f>
        <v>0</v>
      </c>
      <c r="M21" s="4"/>
      <c r="N21" s="1"/>
      <c r="O21" s="4"/>
      <c r="P21" s="4"/>
      <c r="Q21" s="4"/>
      <c r="R21" s="4"/>
      <c r="S21" s="4"/>
      <c r="T21" s="6"/>
      <c r="U21" s="1"/>
    </row>
    <row r="22" spans="2:21" x14ac:dyDescent="0.3">
      <c r="B22" s="1"/>
      <c r="C22" s="4" t="s">
        <v>40</v>
      </c>
      <c r="D22" s="4"/>
      <c r="E22" s="4">
        <f>IF(ISERR(GETPIVOTDATA("GB",DataBase!$P$10,"TAREFA",$C22,"DATA",DATE(YEAR(E$16),MONTH(E$16),DAY(E$16)))),0,GETPIVOTDATA("GB",DataBase!$P$10,"TAREFA",$C22,"DATA",DATE(YEAR(E$16),MONTH(E$16),DAY(E$16))))</f>
        <v>3.65</v>
      </c>
      <c r="F22" s="4">
        <f>IF(ISERR(GETPIVOTDATA("GB",DataBase!$P$10,"TAREFA",$C22,"DATA",DATE(YEAR(F$16),MONTH(F$16),DAY(F$16)))),0,GETPIVOTDATA("GB",DataBase!$P$10,"TAREFA",$C22,"DATA",DATE(YEAR(F$16),MONTH(F$16),DAY(F$16))))</f>
        <v>0</v>
      </c>
      <c r="G22" s="4">
        <f>IF(ISERR(GETPIVOTDATA("GB",DataBase!$P$10,"TAREFA",$C22,"DATA",DATE(YEAR(G$16),MONTH(G$16),DAY(G$16)))),0,GETPIVOTDATA("GB",DataBase!$P$10,"TAREFA",$C22,"DATA",DATE(YEAR(G$16),MONTH(G$16),DAY(G$16))))</f>
        <v>0</v>
      </c>
      <c r="H22" s="4">
        <f>IF(ISERR(GETPIVOTDATA("GB",DataBase!$P$10,"TAREFA",$C22,"DATA",DATE(YEAR(H$16),MONTH(H$16),DAY(H$16)))),0,GETPIVOTDATA("GB",DataBase!$P$10,"TAREFA",$C22,"DATA",DATE(YEAR(H$16),MONTH(H$16),DAY(H$16))))</f>
        <v>0</v>
      </c>
      <c r="I22" s="4">
        <f>IF(ISERR(GETPIVOTDATA("GB",DataBase!$P$10,"TAREFA",$C22,"DATA",DATE(YEAR(I$16),MONTH(I$16),DAY(I$16)))),0,GETPIVOTDATA("GB",DataBase!$P$10,"TAREFA",$C22,"DATA",DATE(YEAR(I$16),MONTH(I$16),DAY(I$16))))</f>
        <v>0</v>
      </c>
      <c r="J22" s="4">
        <f>IF(ISERR(GETPIVOTDATA("GB",DataBase!$P$10,"TAREFA",$C22,"DATA",DATE(YEAR(J$16),MONTH(J$16),DAY(J$16)))),0,GETPIVOTDATA("GB",DataBase!$P$10,"TAREFA",$C22,"DATA",DATE(YEAR(J$16),MONTH(J$16),DAY(J$16))))</f>
        <v>0</v>
      </c>
      <c r="K22" s="4">
        <f>IF(ISERR(GETPIVOTDATA("GB",DataBase!$P$10,"TAREFA",$C22,"DATA",DATE(YEAR(K$16),MONTH(K$16),DAY(K$16)))),0,GETPIVOTDATA("GB",DataBase!$P$10,"TAREFA",$C22,"DATA",DATE(YEAR(K$16),MONTH(K$16),DAY(K$16))))</f>
        <v>0</v>
      </c>
      <c r="L22" s="4">
        <f>IF(ISERR(GETPIVOTDATA("GB",DataBase!$P$10,"TAREFA",$C22,"DATA",DATE(YEAR(L$16),MONTH(L$16),DAY(L$16)))),0,GETPIVOTDATA("GB",DataBase!$P$10,"TAREFA",$C22,"DATA",DATE(YEAR(L$16),MONTH(L$16),DAY(L$16))))</f>
        <v>0</v>
      </c>
      <c r="M22" s="4"/>
      <c r="N22" s="1"/>
      <c r="O22" s="4"/>
      <c r="P22" s="4"/>
      <c r="Q22" s="4" t="s">
        <v>30</v>
      </c>
      <c r="R22" s="4"/>
      <c r="S22" s="4"/>
      <c r="T22" s="6"/>
      <c r="U22" s="1"/>
    </row>
    <row r="23" spans="2:21" x14ac:dyDescent="0.3">
      <c r="B23" s="1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1"/>
      <c r="O23" s="4"/>
      <c r="P23" s="4"/>
      <c r="Q23" s="4" t="s">
        <v>10</v>
      </c>
      <c r="R23" s="4"/>
      <c r="S23" s="4" t="s">
        <v>29</v>
      </c>
      <c r="T23" s="6">
        <v>2.1800000000000002</v>
      </c>
      <c r="U23" s="1"/>
    </row>
    <row r="24" spans="2:21" x14ac:dyDescent="0.3">
      <c r="B24" s="1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1"/>
      <c r="O24" s="4"/>
      <c r="P24" s="4"/>
      <c r="Q24" s="4"/>
      <c r="R24" s="4"/>
      <c r="S24" s="4"/>
      <c r="T24" s="4"/>
      <c r="U24" s="1"/>
    </row>
    <row r="25" spans="2:21" x14ac:dyDescent="0.3">
      <c r="B25" s="1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1"/>
      <c r="O25" s="4"/>
      <c r="P25" s="4"/>
      <c r="Q25" s="4"/>
      <c r="R25" s="4"/>
      <c r="S25" s="4"/>
      <c r="T25" s="4"/>
      <c r="U25" s="1"/>
    </row>
    <row r="26" spans="2:21" x14ac:dyDescent="0.3">
      <c r="B26" s="1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1"/>
      <c r="O26" s="4"/>
      <c r="P26" s="4"/>
      <c r="Q26" s="4"/>
      <c r="R26" s="4"/>
      <c r="S26" s="4"/>
      <c r="T26" s="4"/>
      <c r="U26" s="1"/>
    </row>
    <row r="27" spans="2:21" x14ac:dyDescent="0.3">
      <c r="B27" s="1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1"/>
      <c r="O27" s="1"/>
      <c r="P27" s="1"/>
      <c r="Q27" s="1"/>
      <c r="R27" s="1"/>
      <c r="S27" s="1"/>
      <c r="T27" s="1"/>
      <c r="U27" s="1"/>
    </row>
    <row r="28" spans="2:21" x14ac:dyDescent="0.3">
      <c r="B28" s="1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1"/>
      <c r="O28" s="4"/>
      <c r="P28" s="4"/>
      <c r="Q28" s="4"/>
      <c r="R28" s="4"/>
      <c r="S28" s="4"/>
      <c r="T28" s="4"/>
      <c r="U28" s="1"/>
    </row>
    <row r="29" spans="2:21" x14ac:dyDescent="0.3">
      <c r="B29" s="1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1"/>
      <c r="O29" s="4"/>
      <c r="P29" s="4"/>
      <c r="Q29" s="4" t="str">
        <f>C12</f>
        <v>GOOGLE DRIVE</v>
      </c>
      <c r="R29" s="4"/>
      <c r="S29" s="4"/>
      <c r="T29" s="4"/>
      <c r="U29" s="1"/>
    </row>
    <row r="30" spans="2:21" x14ac:dyDescent="0.3">
      <c r="B30" s="1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1"/>
      <c r="O30" s="4"/>
      <c r="P30" s="4"/>
      <c r="Q30" s="4" t="s">
        <v>32</v>
      </c>
      <c r="R30" s="4"/>
      <c r="S30" s="31">
        <f>IF(ISERR(GETPIVOTDATA("GB",DataBase!$P$2,"TIPO",$Q29,"DATA",DATE(YEAR(S$31),MONTH(S$31),DAY(S$31)))),0,GETPIVOTDATA("GB",DataBase!$P$2,"TIPO",$Q29,"DATA",DATE(YEAR(S$31),MONTH(G$8),DAY(G$8))))</f>
        <v>6400</v>
      </c>
      <c r="T30" s="4"/>
      <c r="U30" s="1"/>
    </row>
    <row r="31" spans="2:21" x14ac:dyDescent="0.3">
      <c r="B31" s="1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1"/>
      <c r="O31" s="4"/>
      <c r="P31" s="4"/>
      <c r="Q31" s="4" t="s">
        <v>31</v>
      </c>
      <c r="R31" s="4"/>
      <c r="S31" s="30">
        <v>42857</v>
      </c>
      <c r="T31" s="4"/>
      <c r="U31" s="1"/>
    </row>
    <row r="32" spans="2:21" x14ac:dyDescent="0.3">
      <c r="B32" s="1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1"/>
      <c r="O32" s="4"/>
      <c r="P32" s="4"/>
      <c r="Q32" s="4"/>
      <c r="R32" s="4"/>
      <c r="S32" s="4"/>
      <c r="T32" s="4"/>
      <c r="U32" s="1"/>
    </row>
    <row r="33" spans="2:21" x14ac:dyDescent="0.3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</row>
    <row r="34" spans="2:21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</row>
  </sheetData>
  <conditionalFormatting sqref="T18:T19 T21:T22">
    <cfRule type="colorScale" priority="5">
      <colorScale>
        <cfvo type="min"/>
        <cfvo type="percentile" val="5"/>
        <cfvo type="max"/>
        <color rgb="FF63BE7B"/>
        <color rgb="FFFFEB84"/>
        <color rgb="FFF8696B"/>
      </colorScale>
    </cfRule>
  </conditionalFormatting>
  <conditionalFormatting sqref="T13 T10 T1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{0B76EE22-57C3-45F2-9003-89B8552D0CE0}</x14:id>
        </ext>
      </extLst>
    </cfRule>
  </conditionalFormatting>
  <dataValidations count="1">
    <dataValidation type="list" allowBlank="1" showInputMessage="1" showErrorMessage="1" sqref="E13:L13" xr:uid="{00000000-0002-0000-0100-000000000000}">
      <formula1>$W$4:$W$9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B76EE22-57C3-45F2-9003-89B8552D0C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T13 T10 T16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7793B-CD5C-4169-B03A-AEDBC920D506}">
  <sheetPr codeName="Planilha3"/>
  <dimension ref="C11:G23"/>
  <sheetViews>
    <sheetView workbookViewId="0">
      <selection activeCell="D23" sqref="D23"/>
    </sheetView>
  </sheetViews>
  <sheetFormatPr defaultRowHeight="16.5" x14ac:dyDescent="0.3"/>
  <cols>
    <col min="1" max="1" width="15.75" bestFit="1" customWidth="1"/>
    <col min="2" max="2" width="17.25" customWidth="1"/>
    <col min="3" max="3" width="17.875" customWidth="1"/>
    <col min="4" max="4" width="35" customWidth="1"/>
    <col min="5" max="5" width="15.375" customWidth="1"/>
    <col min="6" max="6" width="15.25" customWidth="1"/>
    <col min="7" max="7" width="38.25" customWidth="1"/>
    <col min="8" max="8" width="40" customWidth="1"/>
    <col min="9" max="9" width="17.875" bestFit="1" customWidth="1"/>
    <col min="10" max="10" width="21.5" bestFit="1" customWidth="1"/>
    <col min="11" max="11" width="10.375" bestFit="1" customWidth="1"/>
    <col min="12" max="12" width="6.875" bestFit="1" customWidth="1"/>
    <col min="13" max="13" width="8.625" bestFit="1" customWidth="1"/>
    <col min="14" max="14" width="7.75" bestFit="1" customWidth="1"/>
    <col min="15" max="17" width="10.375" bestFit="1" customWidth="1"/>
    <col min="18" max="18" width="9.375" bestFit="1" customWidth="1"/>
  </cols>
  <sheetData>
    <row r="11" spans="3:7" x14ac:dyDescent="0.3">
      <c r="C11" s="37" t="s">
        <v>68</v>
      </c>
      <c r="D11" t="s">
        <v>69</v>
      </c>
    </row>
    <row r="13" spans="3:7" x14ac:dyDescent="0.3">
      <c r="C13" s="37" t="s">
        <v>45</v>
      </c>
      <c r="D13" s="43" t="s">
        <v>71</v>
      </c>
      <c r="E13" t="s">
        <v>72</v>
      </c>
      <c r="F13" t="s">
        <v>74</v>
      </c>
      <c r="G13" t="s">
        <v>73</v>
      </c>
    </row>
    <row r="14" spans="3:7" x14ac:dyDescent="0.3">
      <c r="C14" s="38" t="s">
        <v>59</v>
      </c>
      <c r="D14" s="44">
        <v>863</v>
      </c>
      <c r="E14" s="44">
        <v>25</v>
      </c>
      <c r="F14" s="44">
        <v>60</v>
      </c>
      <c r="G14" s="44">
        <v>838</v>
      </c>
    </row>
    <row r="15" spans="3:7" x14ac:dyDescent="0.3">
      <c r="C15" s="38" t="s">
        <v>60</v>
      </c>
      <c r="D15" s="44"/>
      <c r="E15" s="44"/>
      <c r="F15" s="44"/>
      <c r="G15" s="44">
        <v>0</v>
      </c>
    </row>
    <row r="16" spans="3:7" x14ac:dyDescent="0.3">
      <c r="C16" s="38" t="s">
        <v>61</v>
      </c>
      <c r="D16" s="44"/>
      <c r="E16" s="44"/>
      <c r="F16" s="44"/>
      <c r="G16" s="44">
        <v>0</v>
      </c>
    </row>
    <row r="17" spans="3:7" x14ac:dyDescent="0.3">
      <c r="C17" s="38" t="s">
        <v>62</v>
      </c>
      <c r="D17" s="44"/>
      <c r="E17" s="44"/>
      <c r="F17" s="44"/>
      <c r="G17" s="44">
        <v>0</v>
      </c>
    </row>
    <row r="18" spans="3:7" x14ac:dyDescent="0.3">
      <c r="C18" s="38" t="s">
        <v>63</v>
      </c>
      <c r="D18" s="44"/>
      <c r="E18" s="44"/>
      <c r="F18" s="44"/>
      <c r="G18" s="44">
        <v>0</v>
      </c>
    </row>
    <row r="19" spans="3:7" x14ac:dyDescent="0.3">
      <c r="C19" s="38" t="s">
        <v>64</v>
      </c>
      <c r="D19" s="44"/>
      <c r="E19" s="44"/>
      <c r="F19" s="44"/>
      <c r="G19" s="44">
        <v>0</v>
      </c>
    </row>
    <row r="20" spans="3:7" x14ac:dyDescent="0.3">
      <c r="C20" s="38" t="s">
        <v>65</v>
      </c>
      <c r="D20" s="44"/>
      <c r="E20" s="44"/>
      <c r="F20" s="44"/>
      <c r="G20" s="44">
        <v>0</v>
      </c>
    </row>
    <row r="21" spans="3:7" x14ac:dyDescent="0.3">
      <c r="C21" s="38" t="s">
        <v>66</v>
      </c>
      <c r="D21" s="44"/>
      <c r="E21" s="44"/>
      <c r="F21" s="44"/>
      <c r="G21" s="44">
        <v>0</v>
      </c>
    </row>
    <row r="22" spans="3:7" x14ac:dyDescent="0.3">
      <c r="C22" s="38" t="s">
        <v>67</v>
      </c>
      <c r="D22" s="44"/>
      <c r="E22" s="44"/>
      <c r="F22" s="44"/>
      <c r="G22" s="44">
        <v>0</v>
      </c>
    </row>
    <row r="23" spans="3:7" x14ac:dyDescent="0.3">
      <c r="C23" s="38" t="s">
        <v>46</v>
      </c>
      <c r="D23" s="44">
        <v>863</v>
      </c>
      <c r="E23" s="44">
        <v>25</v>
      </c>
      <c r="F23" s="44">
        <v>60</v>
      </c>
      <c r="G23" s="44">
        <v>838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97CAA-664E-46FD-866A-18A5FDF3B390}">
  <sheetPr codeName="Planilha4"/>
  <dimension ref="A4:C106"/>
  <sheetViews>
    <sheetView workbookViewId="0">
      <selection activeCell="A19" sqref="A19"/>
    </sheetView>
  </sheetViews>
  <sheetFormatPr defaultRowHeight="16.5" x14ac:dyDescent="0.3"/>
  <cols>
    <col min="1" max="1" width="17.875" bestFit="1" customWidth="1"/>
    <col min="2" max="2" width="18.375" bestFit="1" customWidth="1"/>
    <col min="3" max="3" width="13.875" bestFit="1" customWidth="1"/>
    <col min="4" max="4" width="10.125" bestFit="1" customWidth="1"/>
    <col min="5" max="5" width="11.625" bestFit="1" customWidth="1"/>
    <col min="6" max="6" width="10.125" bestFit="1" customWidth="1"/>
    <col min="7" max="7" width="12" bestFit="1" customWidth="1"/>
    <col min="8" max="8" width="11.5" bestFit="1" customWidth="1"/>
    <col min="9" max="9" width="12" bestFit="1" customWidth="1"/>
    <col min="10" max="10" width="10.125" bestFit="1" customWidth="1"/>
    <col min="11" max="11" width="12" bestFit="1" customWidth="1"/>
    <col min="12" max="12" width="10.875" bestFit="1" customWidth="1"/>
  </cols>
  <sheetData>
    <row r="4" spans="1:3" x14ac:dyDescent="0.3">
      <c r="A4" s="37" t="s">
        <v>45</v>
      </c>
      <c r="B4" t="s">
        <v>109</v>
      </c>
      <c r="C4" s="32" t="s">
        <v>108</v>
      </c>
    </row>
    <row r="5" spans="1:3" x14ac:dyDescent="0.3">
      <c r="A5" s="38" t="s">
        <v>76</v>
      </c>
      <c r="B5" s="39">
        <v>74</v>
      </c>
      <c r="C5" s="32">
        <v>43711</v>
      </c>
    </row>
    <row r="6" spans="1:3" x14ac:dyDescent="0.3">
      <c r="A6" s="86">
        <v>43585</v>
      </c>
      <c r="B6" s="39">
        <v>1</v>
      </c>
      <c r="C6" s="32">
        <v>43585</v>
      </c>
    </row>
    <row r="7" spans="1:3" x14ac:dyDescent="0.3">
      <c r="A7" s="86">
        <v>43586</v>
      </c>
      <c r="B7" s="39">
        <v>1</v>
      </c>
      <c r="C7" s="32">
        <v>43586</v>
      </c>
    </row>
    <row r="8" spans="1:3" x14ac:dyDescent="0.3">
      <c r="A8" s="86">
        <v>43587</v>
      </c>
      <c r="B8" s="39">
        <v>1</v>
      </c>
      <c r="C8" s="32">
        <v>43587</v>
      </c>
    </row>
    <row r="9" spans="1:3" x14ac:dyDescent="0.3">
      <c r="A9" s="86">
        <v>43588</v>
      </c>
      <c r="B9" s="39">
        <v>1</v>
      </c>
      <c r="C9" s="32">
        <v>43588</v>
      </c>
    </row>
    <row r="10" spans="1:3" x14ac:dyDescent="0.3">
      <c r="A10" s="86">
        <v>43589</v>
      </c>
      <c r="B10" s="39">
        <v>1</v>
      </c>
      <c r="C10" s="32">
        <v>43589</v>
      </c>
    </row>
    <row r="11" spans="1:3" x14ac:dyDescent="0.3">
      <c r="A11" s="86">
        <v>43590</v>
      </c>
      <c r="B11" s="39">
        <v>1</v>
      </c>
      <c r="C11" s="32">
        <v>43590</v>
      </c>
    </row>
    <row r="12" spans="1:3" x14ac:dyDescent="0.3">
      <c r="A12" s="86">
        <v>43627</v>
      </c>
      <c r="B12" s="39">
        <v>1</v>
      </c>
      <c r="C12" s="32">
        <v>43627</v>
      </c>
    </row>
    <row r="13" spans="1:3" x14ac:dyDescent="0.3">
      <c r="A13" s="86">
        <v>43628</v>
      </c>
      <c r="B13" s="39">
        <v>1</v>
      </c>
      <c r="C13" s="32">
        <v>43628</v>
      </c>
    </row>
    <row r="14" spans="1:3" x14ac:dyDescent="0.3">
      <c r="A14" s="86">
        <v>43629</v>
      </c>
      <c r="B14" s="39">
        <v>1</v>
      </c>
      <c r="C14" s="32">
        <v>43629</v>
      </c>
    </row>
    <row r="15" spans="1:3" x14ac:dyDescent="0.3">
      <c r="A15" s="86">
        <v>43636</v>
      </c>
      <c r="B15" s="39">
        <v>1</v>
      </c>
      <c r="C15" s="32">
        <v>43636</v>
      </c>
    </row>
    <row r="16" spans="1:3" x14ac:dyDescent="0.3">
      <c r="A16" s="86">
        <v>43637</v>
      </c>
      <c r="B16" s="39">
        <v>1</v>
      </c>
      <c r="C16" s="32">
        <v>43637</v>
      </c>
    </row>
    <row r="17" spans="1:3" x14ac:dyDescent="0.3">
      <c r="A17" s="86">
        <v>43638</v>
      </c>
      <c r="B17" s="39">
        <v>1</v>
      </c>
      <c r="C17" s="32">
        <v>43638</v>
      </c>
    </row>
    <row r="18" spans="1:3" x14ac:dyDescent="0.3">
      <c r="A18" s="86">
        <v>43639</v>
      </c>
      <c r="B18" s="39">
        <v>1</v>
      </c>
      <c r="C18" s="32">
        <v>43639</v>
      </c>
    </row>
    <row r="19" spans="1:3" x14ac:dyDescent="0.3">
      <c r="A19" s="86">
        <v>43640</v>
      </c>
      <c r="B19" s="39">
        <v>1</v>
      </c>
      <c r="C19" s="32">
        <v>43640</v>
      </c>
    </row>
    <row r="20" spans="1:3" x14ac:dyDescent="0.3">
      <c r="A20" s="86">
        <v>43641</v>
      </c>
      <c r="B20" s="39">
        <v>1</v>
      </c>
      <c r="C20" s="32">
        <v>43641</v>
      </c>
    </row>
    <row r="21" spans="1:3" x14ac:dyDescent="0.3">
      <c r="A21" s="86">
        <v>43642</v>
      </c>
      <c r="B21" s="39">
        <v>1</v>
      </c>
      <c r="C21" s="32">
        <v>43642</v>
      </c>
    </row>
    <row r="22" spans="1:3" x14ac:dyDescent="0.3">
      <c r="A22" s="86">
        <v>43643</v>
      </c>
      <c r="B22" s="39">
        <v>1</v>
      </c>
      <c r="C22" s="32">
        <v>43643</v>
      </c>
    </row>
    <row r="23" spans="1:3" x14ac:dyDescent="0.3">
      <c r="A23" s="86">
        <v>43644</v>
      </c>
      <c r="B23" s="39">
        <v>1</v>
      </c>
      <c r="C23" s="32">
        <v>43644</v>
      </c>
    </row>
    <row r="24" spans="1:3" x14ac:dyDescent="0.3">
      <c r="A24" s="86">
        <v>43645</v>
      </c>
      <c r="B24" s="39">
        <v>1</v>
      </c>
      <c r="C24" s="32">
        <v>43645</v>
      </c>
    </row>
    <row r="25" spans="1:3" x14ac:dyDescent="0.3">
      <c r="A25" s="86">
        <v>43646</v>
      </c>
      <c r="B25" s="39">
        <v>1</v>
      </c>
      <c r="C25" s="32">
        <v>43646</v>
      </c>
    </row>
    <row r="26" spans="1:3" x14ac:dyDescent="0.3">
      <c r="A26" s="86">
        <v>43647</v>
      </c>
      <c r="B26" s="39">
        <v>1</v>
      </c>
      <c r="C26" s="32">
        <v>43647</v>
      </c>
    </row>
    <row r="27" spans="1:3" x14ac:dyDescent="0.3">
      <c r="A27" s="86">
        <v>43648</v>
      </c>
      <c r="B27" s="39">
        <v>1</v>
      </c>
      <c r="C27" s="32">
        <v>43648</v>
      </c>
    </row>
    <row r="28" spans="1:3" x14ac:dyDescent="0.3">
      <c r="A28" s="86">
        <v>43649</v>
      </c>
      <c r="B28" s="39">
        <v>1</v>
      </c>
      <c r="C28" s="32">
        <v>43649</v>
      </c>
    </row>
    <row r="29" spans="1:3" x14ac:dyDescent="0.3">
      <c r="A29" s="86">
        <v>43650</v>
      </c>
      <c r="B29" s="39">
        <v>1</v>
      </c>
      <c r="C29" s="32">
        <v>43650</v>
      </c>
    </row>
    <row r="30" spans="1:3" x14ac:dyDescent="0.3">
      <c r="A30" s="86">
        <v>43651</v>
      </c>
      <c r="B30" s="39">
        <v>1</v>
      </c>
      <c r="C30" s="32">
        <v>43651</v>
      </c>
    </row>
    <row r="31" spans="1:3" x14ac:dyDescent="0.3">
      <c r="A31" s="86">
        <v>43652</v>
      </c>
      <c r="B31" s="39">
        <v>1</v>
      </c>
      <c r="C31" s="32">
        <v>43652</v>
      </c>
    </row>
    <row r="32" spans="1:3" x14ac:dyDescent="0.3">
      <c r="A32" s="86">
        <v>43653</v>
      </c>
      <c r="B32" s="39">
        <v>1</v>
      </c>
      <c r="C32" s="32">
        <v>43653</v>
      </c>
    </row>
    <row r="33" spans="1:3" x14ac:dyDescent="0.3">
      <c r="A33" s="86">
        <v>43654</v>
      </c>
      <c r="B33" s="39">
        <v>1</v>
      </c>
      <c r="C33" s="32">
        <v>43654</v>
      </c>
    </row>
    <row r="34" spans="1:3" x14ac:dyDescent="0.3">
      <c r="A34" s="86">
        <v>43655</v>
      </c>
      <c r="B34" s="39">
        <v>1</v>
      </c>
      <c r="C34" s="32">
        <v>43655</v>
      </c>
    </row>
    <row r="35" spans="1:3" x14ac:dyDescent="0.3">
      <c r="A35" s="86">
        <v>43656</v>
      </c>
      <c r="B35" s="39">
        <v>1</v>
      </c>
      <c r="C35" s="32">
        <v>43656</v>
      </c>
    </row>
    <row r="36" spans="1:3" x14ac:dyDescent="0.3">
      <c r="A36" s="86">
        <v>43657</v>
      </c>
      <c r="B36" s="39">
        <v>1</v>
      </c>
      <c r="C36" s="32">
        <v>43657</v>
      </c>
    </row>
    <row r="37" spans="1:3" x14ac:dyDescent="0.3">
      <c r="A37" s="86">
        <v>43658</v>
      </c>
      <c r="B37" s="39">
        <v>1</v>
      </c>
      <c r="C37" s="32">
        <v>43658</v>
      </c>
    </row>
    <row r="38" spans="1:3" x14ac:dyDescent="0.3">
      <c r="A38" s="86">
        <v>43659</v>
      </c>
      <c r="B38" s="39">
        <v>1</v>
      </c>
      <c r="C38" s="32">
        <v>43659</v>
      </c>
    </row>
    <row r="39" spans="1:3" x14ac:dyDescent="0.3">
      <c r="A39" s="86">
        <v>43660</v>
      </c>
      <c r="B39" s="39">
        <v>1</v>
      </c>
      <c r="C39" s="32">
        <v>43660</v>
      </c>
    </row>
    <row r="40" spans="1:3" x14ac:dyDescent="0.3">
      <c r="A40" s="86">
        <v>43661</v>
      </c>
      <c r="B40" s="39">
        <v>1</v>
      </c>
      <c r="C40" s="32">
        <v>43661</v>
      </c>
    </row>
    <row r="41" spans="1:3" x14ac:dyDescent="0.3">
      <c r="A41" s="86">
        <v>43662</v>
      </c>
      <c r="B41" s="39">
        <v>1</v>
      </c>
      <c r="C41" s="32">
        <v>43662</v>
      </c>
    </row>
    <row r="42" spans="1:3" x14ac:dyDescent="0.3">
      <c r="A42" s="86">
        <v>43663</v>
      </c>
      <c r="B42" s="39">
        <v>1</v>
      </c>
      <c r="C42" s="32">
        <v>43663</v>
      </c>
    </row>
    <row r="43" spans="1:3" x14ac:dyDescent="0.3">
      <c r="A43" s="86">
        <v>43668</v>
      </c>
      <c r="B43" s="39">
        <v>1</v>
      </c>
      <c r="C43" s="32">
        <v>43668</v>
      </c>
    </row>
    <row r="44" spans="1:3" x14ac:dyDescent="0.3">
      <c r="A44" s="86">
        <v>43669</v>
      </c>
      <c r="B44" s="39">
        <v>1</v>
      </c>
      <c r="C44" s="32">
        <v>43669</v>
      </c>
    </row>
    <row r="45" spans="1:3" x14ac:dyDescent="0.3">
      <c r="A45" s="86">
        <v>43670</v>
      </c>
      <c r="B45" s="39">
        <v>1</v>
      </c>
      <c r="C45" s="32">
        <v>43670</v>
      </c>
    </row>
    <row r="46" spans="1:3" x14ac:dyDescent="0.3">
      <c r="A46" s="86">
        <v>43671</v>
      </c>
      <c r="B46" s="39">
        <v>1</v>
      </c>
      <c r="C46" s="32">
        <v>43671</v>
      </c>
    </row>
    <row r="47" spans="1:3" x14ac:dyDescent="0.3">
      <c r="A47" s="86">
        <v>43672</v>
      </c>
      <c r="B47" s="39">
        <v>1</v>
      </c>
      <c r="C47" s="32">
        <v>43672</v>
      </c>
    </row>
    <row r="48" spans="1:3" x14ac:dyDescent="0.3">
      <c r="A48" s="86">
        <v>43673</v>
      </c>
      <c r="B48" s="39">
        <v>1</v>
      </c>
      <c r="C48" s="32">
        <v>43673</v>
      </c>
    </row>
    <row r="49" spans="1:3" x14ac:dyDescent="0.3">
      <c r="A49" s="86">
        <v>43674</v>
      </c>
      <c r="B49" s="39">
        <v>1</v>
      </c>
      <c r="C49" s="32">
        <v>43674</v>
      </c>
    </row>
    <row r="50" spans="1:3" x14ac:dyDescent="0.3">
      <c r="A50" s="86">
        <v>43675</v>
      </c>
      <c r="B50" s="39">
        <v>1</v>
      </c>
      <c r="C50" s="32">
        <v>43675</v>
      </c>
    </row>
    <row r="51" spans="1:3" x14ac:dyDescent="0.3">
      <c r="A51" s="86">
        <v>43676</v>
      </c>
      <c r="B51" s="39">
        <v>1</v>
      </c>
      <c r="C51" s="32">
        <v>43676</v>
      </c>
    </row>
    <row r="52" spans="1:3" x14ac:dyDescent="0.3">
      <c r="A52" s="86">
        <v>43677</v>
      </c>
      <c r="B52" s="39">
        <v>1</v>
      </c>
      <c r="C52" s="32">
        <v>43677</v>
      </c>
    </row>
    <row r="53" spans="1:3" x14ac:dyDescent="0.3">
      <c r="A53" s="86">
        <v>43678</v>
      </c>
      <c r="B53" s="39">
        <v>1</v>
      </c>
      <c r="C53" s="32">
        <v>43678</v>
      </c>
    </row>
    <row r="54" spans="1:3" x14ac:dyDescent="0.3">
      <c r="A54" s="86">
        <v>43679</v>
      </c>
      <c r="B54" s="39">
        <v>1</v>
      </c>
      <c r="C54" s="32">
        <v>43679</v>
      </c>
    </row>
    <row r="55" spans="1:3" x14ac:dyDescent="0.3">
      <c r="A55" s="86">
        <v>43682</v>
      </c>
      <c r="B55" s="39">
        <v>1</v>
      </c>
      <c r="C55" s="32">
        <v>43682</v>
      </c>
    </row>
    <row r="56" spans="1:3" x14ac:dyDescent="0.3">
      <c r="A56" s="86">
        <v>43683</v>
      </c>
      <c r="B56" s="39">
        <v>1</v>
      </c>
      <c r="C56" s="32">
        <v>43683</v>
      </c>
    </row>
    <row r="57" spans="1:3" x14ac:dyDescent="0.3">
      <c r="A57" s="86">
        <v>43684</v>
      </c>
      <c r="B57" s="39">
        <v>1</v>
      </c>
      <c r="C57" s="32">
        <v>43684</v>
      </c>
    </row>
    <row r="58" spans="1:3" x14ac:dyDescent="0.3">
      <c r="A58" s="86">
        <v>43685</v>
      </c>
      <c r="B58" s="39">
        <v>1</v>
      </c>
      <c r="C58" s="32">
        <v>43685</v>
      </c>
    </row>
    <row r="59" spans="1:3" x14ac:dyDescent="0.3">
      <c r="A59" s="86">
        <v>43686</v>
      </c>
      <c r="B59" s="39">
        <v>1</v>
      </c>
      <c r="C59" s="32">
        <v>43686</v>
      </c>
    </row>
    <row r="60" spans="1:3" x14ac:dyDescent="0.3">
      <c r="A60" s="86">
        <v>43687</v>
      </c>
      <c r="B60" s="39">
        <v>1</v>
      </c>
      <c r="C60" s="32">
        <v>43687</v>
      </c>
    </row>
    <row r="61" spans="1:3" x14ac:dyDescent="0.3">
      <c r="A61" s="86">
        <v>43688</v>
      </c>
      <c r="B61" s="39">
        <v>1</v>
      </c>
      <c r="C61" s="32">
        <v>43688</v>
      </c>
    </row>
    <row r="62" spans="1:3" x14ac:dyDescent="0.3">
      <c r="A62" s="86">
        <v>43691</v>
      </c>
      <c r="B62" s="39">
        <v>1</v>
      </c>
      <c r="C62" s="32">
        <v>43691</v>
      </c>
    </row>
    <row r="63" spans="1:3" x14ac:dyDescent="0.3">
      <c r="A63" s="86">
        <v>43692</v>
      </c>
      <c r="B63" s="39">
        <v>1</v>
      </c>
      <c r="C63" s="32">
        <v>43692</v>
      </c>
    </row>
    <row r="64" spans="1:3" x14ac:dyDescent="0.3">
      <c r="A64" s="86">
        <v>43693</v>
      </c>
      <c r="B64" s="39">
        <v>1</v>
      </c>
      <c r="C64" s="32">
        <v>43693</v>
      </c>
    </row>
    <row r="65" spans="1:3" x14ac:dyDescent="0.3">
      <c r="A65" s="86">
        <v>43694</v>
      </c>
      <c r="B65" s="39">
        <v>1</v>
      </c>
      <c r="C65" s="32">
        <v>43694</v>
      </c>
    </row>
    <row r="66" spans="1:3" x14ac:dyDescent="0.3">
      <c r="A66" s="86">
        <v>43695</v>
      </c>
      <c r="B66" s="39">
        <v>1</v>
      </c>
      <c r="C66" s="32">
        <v>43695</v>
      </c>
    </row>
    <row r="67" spans="1:3" x14ac:dyDescent="0.3">
      <c r="A67" s="86">
        <v>43696</v>
      </c>
      <c r="B67" s="39">
        <v>1</v>
      </c>
      <c r="C67" s="32">
        <v>43696</v>
      </c>
    </row>
    <row r="68" spans="1:3" x14ac:dyDescent="0.3">
      <c r="A68" s="86">
        <v>43697</v>
      </c>
      <c r="B68" s="39">
        <v>1</v>
      </c>
      <c r="C68" s="32">
        <v>43697</v>
      </c>
    </row>
    <row r="69" spans="1:3" x14ac:dyDescent="0.3">
      <c r="A69" s="86">
        <v>43698</v>
      </c>
      <c r="B69" s="39">
        <v>1</v>
      </c>
      <c r="C69" s="32">
        <v>43698</v>
      </c>
    </row>
    <row r="70" spans="1:3" x14ac:dyDescent="0.3">
      <c r="A70" s="86">
        <v>43699</v>
      </c>
      <c r="B70" s="39">
        <v>1</v>
      </c>
      <c r="C70" s="32">
        <v>43699</v>
      </c>
    </row>
    <row r="71" spans="1:3" x14ac:dyDescent="0.3">
      <c r="A71" s="86">
        <v>43700</v>
      </c>
      <c r="B71" s="39">
        <v>1</v>
      </c>
      <c r="C71" s="32">
        <v>43700</v>
      </c>
    </row>
    <row r="72" spans="1:3" x14ac:dyDescent="0.3">
      <c r="A72" s="86">
        <v>43702</v>
      </c>
      <c r="B72" s="39">
        <v>1</v>
      </c>
      <c r="C72" s="32">
        <v>43702</v>
      </c>
    </row>
    <row r="73" spans="1:3" x14ac:dyDescent="0.3">
      <c r="A73" s="86">
        <v>43703</v>
      </c>
      <c r="B73" s="39">
        <v>1</v>
      </c>
      <c r="C73" s="32">
        <v>43703</v>
      </c>
    </row>
    <row r="74" spans="1:3" x14ac:dyDescent="0.3">
      <c r="A74" s="86">
        <v>43704</v>
      </c>
      <c r="B74" s="39">
        <v>1</v>
      </c>
      <c r="C74" s="32">
        <v>43704</v>
      </c>
    </row>
    <row r="75" spans="1:3" x14ac:dyDescent="0.3">
      <c r="A75" s="66" t="s">
        <v>377</v>
      </c>
      <c r="B75" s="39">
        <v>1</v>
      </c>
      <c r="C75" s="32">
        <v>0</v>
      </c>
    </row>
    <row r="76" spans="1:3" x14ac:dyDescent="0.3">
      <c r="A76" s="86">
        <v>43708</v>
      </c>
      <c r="B76" s="39">
        <v>1</v>
      </c>
      <c r="C76" s="32">
        <v>43708</v>
      </c>
    </row>
    <row r="77" spans="1:3" x14ac:dyDescent="0.3">
      <c r="A77" s="86">
        <v>43709</v>
      </c>
      <c r="B77" s="39">
        <v>1</v>
      </c>
      <c r="C77" s="32">
        <v>43709</v>
      </c>
    </row>
    <row r="78" spans="1:3" x14ac:dyDescent="0.3">
      <c r="A78" s="86">
        <v>43710</v>
      </c>
      <c r="B78" s="39">
        <v>1</v>
      </c>
      <c r="C78" s="32">
        <v>43710</v>
      </c>
    </row>
    <row r="79" spans="1:3" x14ac:dyDescent="0.3">
      <c r="A79" s="86">
        <v>43711</v>
      </c>
      <c r="B79" s="39">
        <v>1</v>
      </c>
      <c r="C79" s="32">
        <v>43711</v>
      </c>
    </row>
    <row r="80" spans="1:3" x14ac:dyDescent="0.3">
      <c r="A80" s="38" t="s">
        <v>75</v>
      </c>
      <c r="B80" s="39">
        <v>25</v>
      </c>
      <c r="C80" s="32">
        <v>43706</v>
      </c>
    </row>
    <row r="81" spans="1:3" x14ac:dyDescent="0.3">
      <c r="A81" s="86">
        <v>43600</v>
      </c>
      <c r="B81" s="39">
        <v>1</v>
      </c>
      <c r="C81" s="32">
        <v>43600</v>
      </c>
    </row>
    <row r="82" spans="1:3" x14ac:dyDescent="0.3">
      <c r="A82" s="86">
        <v>43601</v>
      </c>
      <c r="B82" s="39">
        <v>1</v>
      </c>
      <c r="C82" s="32">
        <v>43601</v>
      </c>
    </row>
    <row r="83" spans="1:3" x14ac:dyDescent="0.3">
      <c r="A83" s="86">
        <v>43602</v>
      </c>
      <c r="B83" s="39">
        <v>1</v>
      </c>
      <c r="C83" s="32">
        <v>43602</v>
      </c>
    </row>
    <row r="84" spans="1:3" x14ac:dyDescent="0.3">
      <c r="A84" s="86">
        <v>43603</v>
      </c>
      <c r="B84" s="39">
        <v>1</v>
      </c>
      <c r="C84" s="32">
        <v>43603</v>
      </c>
    </row>
    <row r="85" spans="1:3" x14ac:dyDescent="0.3">
      <c r="A85" s="86">
        <v>43604</v>
      </c>
      <c r="B85" s="39">
        <v>1</v>
      </c>
      <c r="C85" s="32">
        <v>43604</v>
      </c>
    </row>
    <row r="86" spans="1:3" x14ac:dyDescent="0.3">
      <c r="A86" s="86">
        <v>43605</v>
      </c>
      <c r="B86" s="39">
        <v>1</v>
      </c>
      <c r="C86" s="32">
        <v>43605</v>
      </c>
    </row>
    <row r="87" spans="1:3" x14ac:dyDescent="0.3">
      <c r="A87" s="86">
        <v>43606</v>
      </c>
      <c r="B87" s="39">
        <v>1</v>
      </c>
      <c r="C87" s="32">
        <v>43606</v>
      </c>
    </row>
    <row r="88" spans="1:3" x14ac:dyDescent="0.3">
      <c r="A88" s="86">
        <v>43607</v>
      </c>
      <c r="B88" s="39">
        <v>1</v>
      </c>
      <c r="C88" s="32">
        <v>43607</v>
      </c>
    </row>
    <row r="89" spans="1:3" x14ac:dyDescent="0.3">
      <c r="A89" s="86">
        <v>43630</v>
      </c>
      <c r="B89" s="39">
        <v>1</v>
      </c>
      <c r="C89" s="32">
        <v>43630</v>
      </c>
    </row>
    <row r="90" spans="1:3" x14ac:dyDescent="0.3">
      <c r="A90" s="86">
        <v>43631</v>
      </c>
      <c r="B90" s="39">
        <v>1</v>
      </c>
      <c r="C90" s="32">
        <v>43631</v>
      </c>
    </row>
    <row r="91" spans="1:3" x14ac:dyDescent="0.3">
      <c r="A91" s="86">
        <v>43632</v>
      </c>
      <c r="B91" s="39">
        <v>1</v>
      </c>
      <c r="C91" s="32">
        <v>43632</v>
      </c>
    </row>
    <row r="92" spans="1:3" x14ac:dyDescent="0.3">
      <c r="A92" s="86">
        <v>43633</v>
      </c>
      <c r="B92" s="39">
        <v>1</v>
      </c>
      <c r="C92" s="32">
        <v>43633</v>
      </c>
    </row>
    <row r="93" spans="1:3" x14ac:dyDescent="0.3">
      <c r="A93" s="86">
        <v>43634</v>
      </c>
      <c r="B93" s="39">
        <v>1</v>
      </c>
      <c r="C93" s="32">
        <v>43634</v>
      </c>
    </row>
    <row r="94" spans="1:3" x14ac:dyDescent="0.3">
      <c r="A94" s="86">
        <v>43635</v>
      </c>
      <c r="B94" s="39">
        <v>1</v>
      </c>
      <c r="C94" s="32">
        <v>43635</v>
      </c>
    </row>
    <row r="95" spans="1:3" x14ac:dyDescent="0.3">
      <c r="A95" s="86">
        <v>43664</v>
      </c>
      <c r="B95" s="39">
        <v>1</v>
      </c>
      <c r="C95" s="32">
        <v>43664</v>
      </c>
    </row>
    <row r="96" spans="1:3" x14ac:dyDescent="0.3">
      <c r="A96" s="86">
        <v>43665</v>
      </c>
      <c r="B96" s="39">
        <v>1</v>
      </c>
      <c r="C96" s="32">
        <v>43665</v>
      </c>
    </row>
    <row r="97" spans="1:3" x14ac:dyDescent="0.3">
      <c r="A97" s="86">
        <v>43666</v>
      </c>
      <c r="B97" s="39">
        <v>1</v>
      </c>
      <c r="C97" s="32">
        <v>43666</v>
      </c>
    </row>
    <row r="98" spans="1:3" x14ac:dyDescent="0.3">
      <c r="A98" s="86">
        <v>43667</v>
      </c>
      <c r="B98" s="39">
        <v>1</v>
      </c>
      <c r="C98" s="32">
        <v>43667</v>
      </c>
    </row>
    <row r="99" spans="1:3" x14ac:dyDescent="0.3">
      <c r="A99" s="86">
        <v>43680</v>
      </c>
      <c r="B99" s="39">
        <v>1</v>
      </c>
      <c r="C99" s="32">
        <v>43680</v>
      </c>
    </row>
    <row r="100" spans="1:3" x14ac:dyDescent="0.3">
      <c r="A100" s="86">
        <v>43681</v>
      </c>
      <c r="B100" s="39">
        <v>1</v>
      </c>
      <c r="C100" s="32">
        <v>43681</v>
      </c>
    </row>
    <row r="101" spans="1:3" x14ac:dyDescent="0.3">
      <c r="A101" s="86">
        <v>43689</v>
      </c>
      <c r="B101" s="39">
        <v>1</v>
      </c>
      <c r="C101" s="32">
        <v>43689</v>
      </c>
    </row>
    <row r="102" spans="1:3" x14ac:dyDescent="0.3">
      <c r="A102" s="86">
        <v>43690</v>
      </c>
      <c r="B102" s="39">
        <v>1</v>
      </c>
      <c r="C102" s="32">
        <v>43690</v>
      </c>
    </row>
    <row r="103" spans="1:3" x14ac:dyDescent="0.3">
      <c r="A103" s="86">
        <v>43701</v>
      </c>
      <c r="B103" s="39">
        <v>1</v>
      </c>
      <c r="C103" s="32">
        <v>43701</v>
      </c>
    </row>
    <row r="104" spans="1:3" x14ac:dyDescent="0.3">
      <c r="A104" s="86">
        <v>43705</v>
      </c>
      <c r="B104" s="39">
        <v>1</v>
      </c>
      <c r="C104" s="32">
        <v>43705</v>
      </c>
    </row>
    <row r="105" spans="1:3" x14ac:dyDescent="0.3">
      <c r="A105" s="86">
        <v>43706</v>
      </c>
      <c r="B105" s="39">
        <v>1</v>
      </c>
      <c r="C105" s="32">
        <v>43706</v>
      </c>
    </row>
    <row r="106" spans="1:3" x14ac:dyDescent="0.3">
      <c r="A106" s="38" t="s">
        <v>46</v>
      </c>
      <c r="B106" s="39">
        <v>99</v>
      </c>
      <c r="C106" s="32">
        <v>43711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3A1BC-ED25-48F7-A4BC-B38CA55159EB}">
  <sheetPr codeName="Planilha5"/>
  <dimension ref="B1:V119"/>
  <sheetViews>
    <sheetView topLeftCell="C1" workbookViewId="0">
      <selection activeCell="N3" sqref="N3"/>
    </sheetView>
  </sheetViews>
  <sheetFormatPr defaultRowHeight="16.5" x14ac:dyDescent="0.3"/>
  <cols>
    <col min="6" max="6" width="14.75" customWidth="1"/>
    <col min="7" max="7" width="11.5" bestFit="1" customWidth="1"/>
    <col min="8" max="8" width="10.625" style="71" customWidth="1"/>
    <col min="9" max="9" width="9" style="71"/>
    <col min="10" max="10" width="30.25" style="71" customWidth="1"/>
    <col min="11" max="11" width="21.75" style="84" customWidth="1"/>
    <col min="12" max="12" width="16.625" customWidth="1"/>
    <col min="13" max="13" width="10.625" customWidth="1"/>
    <col min="14" max="14" width="21.625" customWidth="1"/>
    <col min="15" max="15" width="10.625" style="32" customWidth="1"/>
    <col min="16" max="16" width="10.625" customWidth="1"/>
    <col min="17" max="17" width="30.25" customWidth="1"/>
    <col min="18" max="19" width="19.5" customWidth="1"/>
    <col min="20" max="20" width="14.75" customWidth="1"/>
    <col min="21" max="21" width="32.875" customWidth="1"/>
  </cols>
  <sheetData>
    <row r="1" spans="2:22" ht="24" x14ac:dyDescent="0.35">
      <c r="F1" s="92" t="s">
        <v>252</v>
      </c>
      <c r="G1" s="92"/>
      <c r="H1" s="92"/>
      <c r="I1" s="92"/>
      <c r="J1" s="92"/>
      <c r="K1" s="92"/>
      <c r="O1"/>
    </row>
    <row r="2" spans="2:22" x14ac:dyDescent="0.3">
      <c r="O2"/>
    </row>
    <row r="3" spans="2:22" x14ac:dyDescent="0.3">
      <c r="B3" t="s">
        <v>30</v>
      </c>
      <c r="F3" s="45" t="s">
        <v>35</v>
      </c>
      <c r="G3" s="45" t="s">
        <v>36</v>
      </c>
      <c r="H3" s="72" t="s">
        <v>37</v>
      </c>
      <c r="I3" s="72" t="s">
        <v>38</v>
      </c>
      <c r="J3" s="73" t="s">
        <v>58</v>
      </c>
      <c r="K3" s="85" t="s">
        <v>78</v>
      </c>
      <c r="M3" s="32"/>
      <c r="N3" t="s">
        <v>92</v>
      </c>
      <c r="O3"/>
    </row>
    <row r="4" spans="2:22" hidden="1" x14ac:dyDescent="0.3">
      <c r="B4" s="47" t="s">
        <v>70</v>
      </c>
      <c r="C4" t="s">
        <v>76</v>
      </c>
      <c r="F4" s="78" t="s">
        <v>69</v>
      </c>
      <c r="G4" s="78" t="s">
        <v>76</v>
      </c>
      <c r="H4" s="75">
        <v>43585</v>
      </c>
      <c r="I4" s="76">
        <v>65.599999999999994</v>
      </c>
      <c r="J4" s="77" t="s">
        <v>110</v>
      </c>
      <c r="K4" s="78">
        <v>34707</v>
      </c>
      <c r="M4" s="32"/>
      <c r="N4">
        <f>INDEX(Tabela16[Número de Arquivos],COUNT(Tabela16[Número de Arquivos]))-INDEX(Tabela16[Número de Arquivos],COUNT(Tabela16[Número de Arquivos])-1)</f>
        <v>69</v>
      </c>
      <c r="O4"/>
    </row>
    <row r="5" spans="2:22" x14ac:dyDescent="0.3">
      <c r="B5" s="46" t="s">
        <v>69</v>
      </c>
      <c r="C5" t="s">
        <v>75</v>
      </c>
      <c r="F5" s="78" t="s">
        <v>69</v>
      </c>
      <c r="G5" s="78" t="s">
        <v>76</v>
      </c>
      <c r="H5" s="75">
        <v>43586</v>
      </c>
      <c r="I5" s="78">
        <v>65.7</v>
      </c>
      <c r="J5" s="77" t="s">
        <v>112</v>
      </c>
      <c r="K5" s="78">
        <v>34781</v>
      </c>
      <c r="M5" s="32"/>
      <c r="O5"/>
    </row>
    <row r="6" spans="2:22" hidden="1" x14ac:dyDescent="0.3">
      <c r="F6" s="78" t="s">
        <v>69</v>
      </c>
      <c r="G6" s="78" t="s">
        <v>76</v>
      </c>
      <c r="H6" s="75">
        <v>43587</v>
      </c>
      <c r="I6" s="78">
        <v>65.7</v>
      </c>
      <c r="J6" s="77" t="s">
        <v>111</v>
      </c>
      <c r="K6" s="78">
        <v>34781</v>
      </c>
      <c r="M6" s="32"/>
      <c r="O6"/>
    </row>
    <row r="7" spans="2:22" hidden="1" x14ac:dyDescent="0.3">
      <c r="F7" s="78" t="s">
        <v>69</v>
      </c>
      <c r="G7" s="78" t="s">
        <v>76</v>
      </c>
      <c r="H7" s="75">
        <v>43588</v>
      </c>
      <c r="I7" s="78" t="s">
        <v>97</v>
      </c>
      <c r="J7" s="78" t="s">
        <v>116</v>
      </c>
      <c r="K7" s="78">
        <v>34862</v>
      </c>
      <c r="N7" s="48" t="s">
        <v>35</v>
      </c>
      <c r="O7" s="49" t="s">
        <v>36</v>
      </c>
      <c r="P7" s="49" t="s">
        <v>37</v>
      </c>
      <c r="Q7" s="49" t="s">
        <v>38</v>
      </c>
      <c r="R7" s="49" t="s">
        <v>58</v>
      </c>
      <c r="S7" s="50" t="s">
        <v>78</v>
      </c>
      <c r="T7" s="54" t="s">
        <v>90</v>
      </c>
      <c r="U7" s="54"/>
      <c r="V7" s="54" t="s">
        <v>84</v>
      </c>
    </row>
    <row r="8" spans="2:22" hidden="1" x14ac:dyDescent="0.3">
      <c r="F8" s="78" t="s">
        <v>69</v>
      </c>
      <c r="G8" s="78" t="s">
        <v>76</v>
      </c>
      <c r="H8" s="75">
        <v>43589</v>
      </c>
      <c r="I8" s="78" t="s">
        <v>97</v>
      </c>
      <c r="J8" s="78" t="s">
        <v>117</v>
      </c>
      <c r="K8" s="78">
        <v>34947</v>
      </c>
      <c r="N8" t="str">
        <f>IF($V$9=1,INDEX(Tabela16[],$V$8,IF($V$9=1,MATCH(N7,Tabela16[#Headers],0))),IF($V$9=2,INDEX(Tabela167[],$V$8,MATCH(N7,Tabela167[#Headers],0)),INDEX(Tabela1[],$V$8,MATCH(N7,Tabela1[#Headers],0))))</f>
        <v>Protheus</v>
      </c>
      <c r="O8" t="str">
        <f>IF($V$9=1,INDEX(Tabela16[],$V$8,IF($V$9=1,MATCH(O7,Tabela16[#Headers],0))),IF($V$9=2,INDEX(Tabela167[],$V$8,MATCH(O7,Tabela167[#Headers],0)),INDEX(Tabela1[],$V$8,MATCH(O7,Tabela1[#Headers],0))))</f>
        <v>Completa</v>
      </c>
      <c r="P8" s="32">
        <f>IF($V$9=1,INDEX(Tabela16[],$V$8,IF($V$9=1,MATCH(P7,Tabela16[#Headers],0))),IF($V$9=2,INDEX(Tabela167[],$V$8,MATCH(P7,Tabela167[#Headers],0)),INDEX(Tabela1[],$V$8,MATCH(P7,Tabela1[#Headers],0))))</f>
        <v>43585</v>
      </c>
      <c r="Q8" t="str">
        <f>IF($V$9=1,INDEX(Tabela16[],$V$8,IF($V$9=1,MATCH(Q7,Tabela16[#Headers],0))),IF($V$9=2,INDEX(Tabela167[],$V$8,MATCH(Q7,Tabela167[#Headers],0)),INDEX(Tabela1[],$V$8,MATCH(Q7,Tabela1[#Headers],0))))</f>
        <v>23,6 GB</v>
      </c>
      <c r="R8" t="str">
        <f>IF($V$9=1,INDEX(Tabela16[],$V$8,IF($V$9=1,MATCH(R7,Tabela16[#Headers],0))),IF($V$9=2,INDEX(Tabela167[],$V$8,MATCH(R7,Tabela167[#Headers],0)),INDEX(Tabela1[],$V$8,MATCH(R7,Tabela1[#Headers],0))))</f>
        <v xml:space="preserve">2 Horas, 8 Minutos, 19 Segundos </v>
      </c>
      <c r="S8">
        <f>IF($V$9=1,INDEX(Tabela16[],$V$8,IF($V$9=1,MATCH(S7,Tabela16[#Headers],0))),IF($V$9=2,INDEX(Tabela167[],$V$8,MATCH(S7,Tabela167[#Headers],0)),INDEX(Tabela1[],$V$8,MATCH(S7,Tabela1[#Headers],0))))</f>
        <v>95149</v>
      </c>
      <c r="T8" t="s">
        <v>91</v>
      </c>
      <c r="V8">
        <v>1</v>
      </c>
    </row>
    <row r="9" spans="2:22" hidden="1" x14ac:dyDescent="0.3">
      <c r="F9" s="78" t="s">
        <v>69</v>
      </c>
      <c r="G9" s="78" t="s">
        <v>76</v>
      </c>
      <c r="H9" s="75">
        <v>43590</v>
      </c>
      <c r="I9" s="78" t="s">
        <v>97</v>
      </c>
      <c r="J9" s="78" t="s">
        <v>118</v>
      </c>
      <c r="K9" s="78">
        <v>34952</v>
      </c>
      <c r="V9">
        <v>2</v>
      </c>
    </row>
    <row r="10" spans="2:22" ht="17.25" hidden="1" x14ac:dyDescent="0.3">
      <c r="F10" s="78" t="s">
        <v>69</v>
      </c>
      <c r="G10" s="78" t="s">
        <v>75</v>
      </c>
      <c r="H10" s="75">
        <v>43600</v>
      </c>
      <c r="I10" s="76" t="s">
        <v>133</v>
      </c>
      <c r="J10" s="78" t="s">
        <v>134</v>
      </c>
      <c r="K10" s="78">
        <v>20</v>
      </c>
      <c r="T10" s="57" t="s">
        <v>69</v>
      </c>
    </row>
    <row r="11" spans="2:22" hidden="1" x14ac:dyDescent="0.3">
      <c r="F11" s="78" t="s">
        <v>69</v>
      </c>
      <c r="G11" s="78" t="s">
        <v>75</v>
      </c>
      <c r="H11" s="75">
        <v>43601</v>
      </c>
      <c r="I11" s="76" t="s">
        <v>135</v>
      </c>
      <c r="J11" s="78" t="s">
        <v>123</v>
      </c>
      <c r="K11" s="78">
        <v>0</v>
      </c>
      <c r="T11" t="s">
        <v>30</v>
      </c>
    </row>
    <row r="12" spans="2:22" hidden="1" x14ac:dyDescent="0.3">
      <c r="F12" s="78" t="s">
        <v>69</v>
      </c>
      <c r="G12" s="78" t="s">
        <v>75</v>
      </c>
      <c r="H12" s="75">
        <v>43602</v>
      </c>
      <c r="I12" s="78" t="s">
        <v>132</v>
      </c>
      <c r="J12" s="78" t="s">
        <v>136</v>
      </c>
      <c r="K12" s="78">
        <v>20</v>
      </c>
      <c r="T12" t="s">
        <v>70</v>
      </c>
    </row>
    <row r="13" spans="2:22" hidden="1" x14ac:dyDescent="0.3">
      <c r="F13" s="78" t="s">
        <v>69</v>
      </c>
      <c r="G13" s="78" t="s">
        <v>75</v>
      </c>
      <c r="H13" s="75">
        <v>43603</v>
      </c>
      <c r="I13" s="78" t="s">
        <v>132</v>
      </c>
      <c r="J13" s="78" t="s">
        <v>137</v>
      </c>
      <c r="K13" s="78">
        <v>20</v>
      </c>
    </row>
    <row r="14" spans="2:22" hidden="1" x14ac:dyDescent="0.3">
      <c r="F14" s="78" t="s">
        <v>69</v>
      </c>
      <c r="G14" s="78" t="s">
        <v>75</v>
      </c>
      <c r="H14" s="75">
        <v>43604</v>
      </c>
      <c r="I14" s="78" t="s">
        <v>138</v>
      </c>
      <c r="J14" s="78" t="s">
        <v>141</v>
      </c>
      <c r="K14" s="78">
        <v>767</v>
      </c>
    </row>
    <row r="15" spans="2:22" hidden="1" x14ac:dyDescent="0.3">
      <c r="F15" s="78" t="s">
        <v>69</v>
      </c>
      <c r="G15" s="78" t="s">
        <v>75</v>
      </c>
      <c r="H15" s="75">
        <v>43605</v>
      </c>
      <c r="I15" s="78" t="s">
        <v>139</v>
      </c>
      <c r="J15" s="78" t="s">
        <v>140</v>
      </c>
      <c r="K15" s="78">
        <v>5</v>
      </c>
      <c r="Q15" s="55"/>
    </row>
    <row r="16" spans="2:22" hidden="1" x14ac:dyDescent="0.3">
      <c r="F16" s="78" t="s">
        <v>69</v>
      </c>
      <c r="G16" s="78" t="s">
        <v>75</v>
      </c>
      <c r="H16" s="75">
        <v>43606</v>
      </c>
      <c r="I16" s="78" t="s">
        <v>143</v>
      </c>
      <c r="J16" s="78" t="s">
        <v>142</v>
      </c>
      <c r="K16" s="78">
        <v>620</v>
      </c>
    </row>
    <row r="17" spans="6:19" hidden="1" x14ac:dyDescent="0.3">
      <c r="F17" s="78" t="s">
        <v>69</v>
      </c>
      <c r="G17" s="78" t="s">
        <v>75</v>
      </c>
      <c r="H17" s="75">
        <v>43607</v>
      </c>
      <c r="I17" s="78" t="s">
        <v>145</v>
      </c>
      <c r="J17" s="78" t="s">
        <v>144</v>
      </c>
      <c r="K17" s="78">
        <v>622</v>
      </c>
    </row>
    <row r="18" spans="6:19" hidden="1" x14ac:dyDescent="0.3">
      <c r="F18" s="78" t="s">
        <v>69</v>
      </c>
      <c r="G18" s="78" t="s">
        <v>76</v>
      </c>
      <c r="H18" s="75">
        <v>43627</v>
      </c>
      <c r="I18" s="78" t="s">
        <v>162</v>
      </c>
      <c r="J18" s="78" t="s">
        <v>163</v>
      </c>
      <c r="K18" s="78">
        <v>36012</v>
      </c>
    </row>
    <row r="19" spans="6:19" hidden="1" x14ac:dyDescent="0.3">
      <c r="F19" s="78" t="s">
        <v>69</v>
      </c>
      <c r="G19" s="78" t="s">
        <v>76</v>
      </c>
      <c r="H19" s="75">
        <v>43628</v>
      </c>
      <c r="I19" s="76" t="s">
        <v>160</v>
      </c>
      <c r="J19" s="78" t="s">
        <v>161</v>
      </c>
      <c r="K19" s="78">
        <v>37022</v>
      </c>
    </row>
    <row r="20" spans="6:19" hidden="1" x14ac:dyDescent="0.3">
      <c r="F20" s="78" t="s">
        <v>69</v>
      </c>
      <c r="G20" s="78" t="s">
        <v>76</v>
      </c>
      <c r="H20" s="75">
        <v>43629</v>
      </c>
      <c r="I20" s="76" t="s">
        <v>160</v>
      </c>
      <c r="J20" s="78" t="s">
        <v>159</v>
      </c>
      <c r="K20" s="78">
        <v>37078</v>
      </c>
      <c r="N20" s="48" t="s">
        <v>35</v>
      </c>
      <c r="O20" s="49" t="s">
        <v>36</v>
      </c>
      <c r="P20" s="49" t="s">
        <v>37</v>
      </c>
      <c r="Q20" s="49" t="s">
        <v>38</v>
      </c>
      <c r="R20" s="49" t="s">
        <v>58</v>
      </c>
      <c r="S20" s="50" t="s">
        <v>78</v>
      </c>
    </row>
    <row r="21" spans="6:19" hidden="1" x14ac:dyDescent="0.3">
      <c r="F21" s="78" t="s">
        <v>69</v>
      </c>
      <c r="G21" s="78" t="s">
        <v>75</v>
      </c>
      <c r="H21" s="75">
        <v>43630</v>
      </c>
      <c r="I21" s="76" t="s">
        <v>125</v>
      </c>
      <c r="J21" s="78" t="s">
        <v>157</v>
      </c>
      <c r="K21" s="78">
        <v>71</v>
      </c>
      <c r="N21" t="str">
        <f>INDEX(Tabela16[TAREFA],COUNT(Tabela16[Número de Arquivos]))</f>
        <v>Arquivos</v>
      </c>
      <c r="O21" t="str">
        <f>INDEX(Tabela16[TIPO],COUNT(Tabela16[Número de Arquivos]))</f>
        <v>Completa</v>
      </c>
      <c r="P21" s="32">
        <f>INDEX(Tabela16[DATA],COUNT(Tabela16[DATA]))</f>
        <v>43722</v>
      </c>
      <c r="Q21" t="str">
        <f>INDEX(Tabela16[GB],COUNT(Tabela16[Número de Arquivos]))</f>
        <v>71,5 GB</v>
      </c>
      <c r="R21" t="str">
        <f>INDEX(Tabela16[Tempo],COUNT(Tabela16[Número de Arquivos]))</f>
        <v xml:space="preserve">2 Horas, 9 Minutos, 45 Segundos </v>
      </c>
      <c r="S21">
        <f>INDEX(Tabela16[Número de Arquivos],COUNT(Tabela16[Número de Arquivos]))</f>
        <v>41700</v>
      </c>
    </row>
    <row r="22" spans="6:19" hidden="1" x14ac:dyDescent="0.3">
      <c r="F22" s="78" t="s">
        <v>69</v>
      </c>
      <c r="G22" s="78" t="s">
        <v>75</v>
      </c>
      <c r="H22" s="75">
        <v>43631</v>
      </c>
      <c r="I22" s="76" t="s">
        <v>125</v>
      </c>
      <c r="J22" s="78" t="s">
        <v>158</v>
      </c>
      <c r="K22" s="78">
        <v>71</v>
      </c>
      <c r="M22" s="32"/>
      <c r="N22" s="32"/>
      <c r="P22" s="39"/>
      <c r="Q22" s="39"/>
      <c r="R22" s="39"/>
    </row>
    <row r="23" spans="6:19" hidden="1" x14ac:dyDescent="0.3">
      <c r="F23" s="78" t="s">
        <v>69</v>
      </c>
      <c r="G23" s="78" t="s">
        <v>75</v>
      </c>
      <c r="H23" s="75">
        <v>43632</v>
      </c>
      <c r="I23" s="76" t="s">
        <v>125</v>
      </c>
      <c r="J23" s="78" t="s">
        <v>157</v>
      </c>
      <c r="K23" s="78">
        <v>71</v>
      </c>
    </row>
    <row r="24" spans="6:19" hidden="1" x14ac:dyDescent="0.3">
      <c r="F24" s="80" t="s">
        <v>69</v>
      </c>
      <c r="G24" s="80" t="s">
        <v>75</v>
      </c>
      <c r="H24" s="81">
        <v>43633</v>
      </c>
      <c r="I24" s="82" t="s">
        <v>125</v>
      </c>
      <c r="J24" s="80" t="s">
        <v>157</v>
      </c>
      <c r="K24" s="88">
        <v>71</v>
      </c>
    </row>
    <row r="25" spans="6:19" hidden="1" x14ac:dyDescent="0.3">
      <c r="F25" s="78" t="s">
        <v>69</v>
      </c>
      <c r="G25" s="78" t="s">
        <v>75</v>
      </c>
      <c r="H25" s="75">
        <v>43634</v>
      </c>
      <c r="I25" s="76" t="s">
        <v>155</v>
      </c>
      <c r="J25" s="78" t="s">
        <v>156</v>
      </c>
      <c r="K25" s="78">
        <v>72</v>
      </c>
    </row>
    <row r="26" spans="6:19" hidden="1" x14ac:dyDescent="0.3">
      <c r="F26" s="78" t="s">
        <v>69</v>
      </c>
      <c r="G26" s="78" t="s">
        <v>75</v>
      </c>
      <c r="H26" s="75">
        <v>43635</v>
      </c>
      <c r="I26" s="76" t="s">
        <v>155</v>
      </c>
      <c r="J26" s="78" t="s">
        <v>154</v>
      </c>
      <c r="K26" s="78">
        <v>72</v>
      </c>
    </row>
    <row r="27" spans="6:19" hidden="1" x14ac:dyDescent="0.3">
      <c r="F27" s="78" t="s">
        <v>69</v>
      </c>
      <c r="G27" s="78" t="s">
        <v>76</v>
      </c>
      <c r="H27" s="75">
        <v>43636</v>
      </c>
      <c r="I27" s="78" t="s">
        <v>173</v>
      </c>
      <c r="J27" s="78" t="s">
        <v>174</v>
      </c>
      <c r="K27" s="78">
        <v>37450</v>
      </c>
    </row>
    <row r="28" spans="6:19" hidden="1" x14ac:dyDescent="0.3">
      <c r="F28" s="78" t="s">
        <v>69</v>
      </c>
      <c r="G28" s="78" t="s">
        <v>76</v>
      </c>
      <c r="H28" s="75">
        <v>43637</v>
      </c>
      <c r="I28" s="78" t="s">
        <v>173</v>
      </c>
      <c r="J28" s="78" t="s">
        <v>175</v>
      </c>
      <c r="K28" s="78">
        <v>37450</v>
      </c>
    </row>
    <row r="29" spans="6:19" hidden="1" x14ac:dyDescent="0.3">
      <c r="F29" s="78" t="s">
        <v>69</v>
      </c>
      <c r="G29" s="78" t="s">
        <v>76</v>
      </c>
      <c r="H29" s="75">
        <v>43638</v>
      </c>
      <c r="I29" s="78" t="s">
        <v>160</v>
      </c>
      <c r="J29" s="78" t="s">
        <v>183</v>
      </c>
      <c r="K29" s="78">
        <v>37447</v>
      </c>
    </row>
    <row r="30" spans="6:19" hidden="1" x14ac:dyDescent="0.3">
      <c r="F30" s="78" t="s">
        <v>69</v>
      </c>
      <c r="G30" s="78" t="s">
        <v>76</v>
      </c>
      <c r="H30" s="75">
        <v>43639</v>
      </c>
      <c r="I30" s="78" t="s">
        <v>160</v>
      </c>
      <c r="J30" s="78" t="s">
        <v>184</v>
      </c>
      <c r="K30" s="78">
        <v>37447</v>
      </c>
    </row>
    <row r="31" spans="6:19" hidden="1" x14ac:dyDescent="0.3">
      <c r="F31" s="78" t="s">
        <v>69</v>
      </c>
      <c r="G31" s="78" t="s">
        <v>76</v>
      </c>
      <c r="H31" s="75">
        <v>43640</v>
      </c>
      <c r="I31" s="76" t="s">
        <v>160</v>
      </c>
      <c r="J31" s="78" t="s">
        <v>185</v>
      </c>
      <c r="K31" s="78">
        <v>37450</v>
      </c>
    </row>
    <row r="32" spans="6:19" hidden="1" x14ac:dyDescent="0.3">
      <c r="F32" s="78" t="s">
        <v>69</v>
      </c>
      <c r="G32" s="78" t="s">
        <v>76</v>
      </c>
      <c r="H32" s="75">
        <v>43641</v>
      </c>
      <c r="I32" s="76" t="s">
        <v>160</v>
      </c>
      <c r="J32" s="78" t="s">
        <v>186</v>
      </c>
      <c r="K32" s="78">
        <v>37450</v>
      </c>
    </row>
    <row r="33" spans="6:11" hidden="1" x14ac:dyDescent="0.3">
      <c r="F33" s="78" t="s">
        <v>69</v>
      </c>
      <c r="G33" s="78" t="s">
        <v>76</v>
      </c>
      <c r="H33" s="75">
        <v>43642</v>
      </c>
      <c r="I33" s="76" t="s">
        <v>173</v>
      </c>
      <c r="J33" s="83" t="s">
        <v>199</v>
      </c>
      <c r="K33" s="78">
        <v>37521</v>
      </c>
    </row>
    <row r="34" spans="6:11" hidden="1" x14ac:dyDescent="0.3">
      <c r="F34" s="78" t="s">
        <v>69</v>
      </c>
      <c r="G34" s="78" t="s">
        <v>76</v>
      </c>
      <c r="H34" s="75">
        <v>43643</v>
      </c>
      <c r="I34" s="76" t="s">
        <v>173</v>
      </c>
      <c r="J34" s="83" t="s">
        <v>200</v>
      </c>
      <c r="K34" s="78">
        <v>37609</v>
      </c>
    </row>
    <row r="35" spans="6:11" hidden="1" x14ac:dyDescent="0.3">
      <c r="F35" s="78" t="s">
        <v>69</v>
      </c>
      <c r="G35" s="78" t="s">
        <v>76</v>
      </c>
      <c r="H35" s="75">
        <v>43644</v>
      </c>
      <c r="I35" s="76" t="s">
        <v>173</v>
      </c>
      <c r="J35" s="78" t="s">
        <v>201</v>
      </c>
      <c r="K35" s="78">
        <v>37687</v>
      </c>
    </row>
    <row r="36" spans="6:11" hidden="1" x14ac:dyDescent="0.3">
      <c r="F36" s="78" t="s">
        <v>69</v>
      </c>
      <c r="G36" s="78" t="s">
        <v>76</v>
      </c>
      <c r="H36" s="75">
        <v>43645</v>
      </c>
      <c r="I36" s="76" t="s">
        <v>173</v>
      </c>
      <c r="J36" s="78" t="s">
        <v>202</v>
      </c>
      <c r="K36" s="78">
        <v>37770</v>
      </c>
    </row>
    <row r="37" spans="6:11" hidden="1" x14ac:dyDescent="0.3">
      <c r="F37" s="78" t="s">
        <v>69</v>
      </c>
      <c r="G37" s="78" t="s">
        <v>76</v>
      </c>
      <c r="H37" s="75">
        <v>43646</v>
      </c>
      <c r="I37" s="76" t="s">
        <v>173</v>
      </c>
      <c r="J37" s="78" t="s">
        <v>203</v>
      </c>
      <c r="K37" s="78">
        <v>37817</v>
      </c>
    </row>
    <row r="38" spans="6:11" x14ac:dyDescent="0.3">
      <c r="F38" s="78" t="s">
        <v>69</v>
      </c>
      <c r="G38" s="78" t="s">
        <v>76</v>
      </c>
      <c r="H38" s="75">
        <v>43647</v>
      </c>
      <c r="I38" s="76" t="s">
        <v>173</v>
      </c>
      <c r="J38" s="78" t="s">
        <v>204</v>
      </c>
      <c r="K38" s="78">
        <v>37817</v>
      </c>
    </row>
    <row r="39" spans="6:11" hidden="1" x14ac:dyDescent="0.3">
      <c r="F39" s="78" t="s">
        <v>69</v>
      </c>
      <c r="G39" s="78" t="s">
        <v>76</v>
      </c>
      <c r="H39" s="75">
        <v>43648</v>
      </c>
      <c r="I39" s="76" t="s">
        <v>173</v>
      </c>
      <c r="J39" s="78" t="s">
        <v>205</v>
      </c>
      <c r="K39" s="78">
        <v>37943</v>
      </c>
    </row>
    <row r="40" spans="6:11" hidden="1" x14ac:dyDescent="0.3">
      <c r="F40" s="78" t="s">
        <v>69</v>
      </c>
      <c r="G40" s="78" t="s">
        <v>76</v>
      </c>
      <c r="H40" s="75">
        <v>43649</v>
      </c>
      <c r="I40" s="76" t="s">
        <v>173</v>
      </c>
      <c r="J40" s="78" t="s">
        <v>206</v>
      </c>
      <c r="K40" s="78">
        <v>37982</v>
      </c>
    </row>
    <row r="41" spans="6:11" hidden="1" x14ac:dyDescent="0.3">
      <c r="F41" s="78" t="s">
        <v>69</v>
      </c>
      <c r="G41" s="78" t="s">
        <v>76</v>
      </c>
      <c r="H41" s="75">
        <v>43650</v>
      </c>
      <c r="I41" s="76" t="s">
        <v>212</v>
      </c>
      <c r="J41" s="78" t="s">
        <v>213</v>
      </c>
      <c r="K41" s="78">
        <v>38046</v>
      </c>
    </row>
    <row r="42" spans="6:11" hidden="1" x14ac:dyDescent="0.3">
      <c r="F42" s="78" t="s">
        <v>69</v>
      </c>
      <c r="G42" s="78" t="s">
        <v>76</v>
      </c>
      <c r="H42" s="75">
        <v>43651</v>
      </c>
      <c r="I42" s="76" t="s">
        <v>212</v>
      </c>
      <c r="J42" s="78" t="s">
        <v>214</v>
      </c>
      <c r="K42" s="78">
        <v>38145</v>
      </c>
    </row>
    <row r="43" spans="6:11" hidden="1" x14ac:dyDescent="0.3">
      <c r="F43" s="78" t="s">
        <v>69</v>
      </c>
      <c r="G43" s="78" t="s">
        <v>76</v>
      </c>
      <c r="H43" s="75">
        <v>43652</v>
      </c>
      <c r="I43" s="76" t="s">
        <v>212</v>
      </c>
      <c r="J43" s="78" t="s">
        <v>215</v>
      </c>
      <c r="K43" s="78">
        <v>38275</v>
      </c>
    </row>
    <row r="44" spans="6:11" hidden="1" x14ac:dyDescent="0.3">
      <c r="F44" s="78" t="s">
        <v>69</v>
      </c>
      <c r="G44" s="78" t="s">
        <v>76</v>
      </c>
      <c r="H44" s="75">
        <v>43653</v>
      </c>
      <c r="I44" s="76" t="s">
        <v>212</v>
      </c>
      <c r="J44" s="78" t="s">
        <v>219</v>
      </c>
      <c r="K44" s="78">
        <v>38276</v>
      </c>
    </row>
    <row r="45" spans="6:11" hidden="1" x14ac:dyDescent="0.3">
      <c r="F45" s="78" t="s">
        <v>69</v>
      </c>
      <c r="G45" s="78" t="s">
        <v>76</v>
      </c>
      <c r="H45" s="75">
        <v>43654</v>
      </c>
      <c r="I45" s="76" t="s">
        <v>212</v>
      </c>
      <c r="J45" s="78" t="s">
        <v>220</v>
      </c>
      <c r="K45" s="78">
        <v>38276</v>
      </c>
    </row>
    <row r="46" spans="6:11" hidden="1" x14ac:dyDescent="0.3">
      <c r="F46" s="78" t="s">
        <v>69</v>
      </c>
      <c r="G46" s="78" t="s">
        <v>76</v>
      </c>
      <c r="H46" s="75">
        <v>43655</v>
      </c>
      <c r="I46" s="76" t="s">
        <v>212</v>
      </c>
      <c r="J46" s="78" t="s">
        <v>224</v>
      </c>
      <c r="K46" s="78">
        <v>38303</v>
      </c>
    </row>
    <row r="47" spans="6:11" hidden="1" x14ac:dyDescent="0.3">
      <c r="F47" s="78" t="s">
        <v>69</v>
      </c>
      <c r="G47" s="78" t="s">
        <v>76</v>
      </c>
      <c r="H47" s="75">
        <v>43656</v>
      </c>
      <c r="I47" s="76" t="s">
        <v>212</v>
      </c>
      <c r="J47" s="78" t="s">
        <v>225</v>
      </c>
      <c r="K47" s="78">
        <v>38332</v>
      </c>
    </row>
    <row r="48" spans="6:11" hidden="1" x14ac:dyDescent="0.3">
      <c r="F48" s="78" t="s">
        <v>69</v>
      </c>
      <c r="G48" s="78" t="s">
        <v>76</v>
      </c>
      <c r="H48" s="75">
        <v>43657</v>
      </c>
      <c r="I48" s="76" t="s">
        <v>212</v>
      </c>
      <c r="J48" s="78" t="s">
        <v>227</v>
      </c>
      <c r="K48" s="78">
        <v>38371</v>
      </c>
    </row>
    <row r="49" spans="6:11" hidden="1" x14ac:dyDescent="0.3">
      <c r="F49" s="78" t="s">
        <v>69</v>
      </c>
      <c r="G49" s="78" t="s">
        <v>76</v>
      </c>
      <c r="H49" s="75">
        <v>43658</v>
      </c>
      <c r="I49" s="76" t="s">
        <v>212</v>
      </c>
      <c r="J49" s="78" t="s">
        <v>230</v>
      </c>
      <c r="K49" s="78">
        <v>38402</v>
      </c>
    </row>
    <row r="50" spans="6:11" hidden="1" x14ac:dyDescent="0.3">
      <c r="F50" s="78" t="s">
        <v>69</v>
      </c>
      <c r="G50" s="78" t="s">
        <v>76</v>
      </c>
      <c r="H50" s="75">
        <v>43659</v>
      </c>
      <c r="I50" s="76" t="s">
        <v>212</v>
      </c>
      <c r="J50" s="78" t="s">
        <v>231</v>
      </c>
      <c r="K50" s="78">
        <v>38481</v>
      </c>
    </row>
    <row r="51" spans="6:11" hidden="1" x14ac:dyDescent="0.3">
      <c r="F51" s="78" t="s">
        <v>69</v>
      </c>
      <c r="G51" s="78" t="s">
        <v>76</v>
      </c>
      <c r="H51" s="75">
        <v>43660</v>
      </c>
      <c r="I51" s="76" t="s">
        <v>173</v>
      </c>
      <c r="J51" s="78" t="s">
        <v>234</v>
      </c>
      <c r="K51" s="78">
        <v>38509</v>
      </c>
    </row>
    <row r="52" spans="6:11" hidden="1" x14ac:dyDescent="0.3">
      <c r="F52" s="78" t="s">
        <v>69</v>
      </c>
      <c r="G52" s="78" t="s">
        <v>76</v>
      </c>
      <c r="H52" s="75">
        <v>43661</v>
      </c>
      <c r="I52" s="76" t="s">
        <v>173</v>
      </c>
      <c r="J52" s="78" t="s">
        <v>235</v>
      </c>
      <c r="K52" s="78">
        <v>38509</v>
      </c>
    </row>
    <row r="53" spans="6:11" hidden="1" x14ac:dyDescent="0.3">
      <c r="F53" s="78" t="s">
        <v>69</v>
      </c>
      <c r="G53" s="78" t="s">
        <v>76</v>
      </c>
      <c r="H53" s="75">
        <v>43662</v>
      </c>
      <c r="I53" s="76" t="s">
        <v>173</v>
      </c>
      <c r="J53" s="78" t="s">
        <v>238</v>
      </c>
      <c r="K53" s="78">
        <v>38560</v>
      </c>
    </row>
    <row r="54" spans="6:11" hidden="1" x14ac:dyDescent="0.3">
      <c r="F54" s="78" t="s">
        <v>69</v>
      </c>
      <c r="G54" s="78" t="s">
        <v>76</v>
      </c>
      <c r="H54" s="75">
        <v>43663</v>
      </c>
      <c r="I54" s="76" t="s">
        <v>173</v>
      </c>
      <c r="J54" s="78" t="s">
        <v>240</v>
      </c>
      <c r="K54" s="78">
        <v>38625</v>
      </c>
    </row>
    <row r="55" spans="6:11" hidden="1" x14ac:dyDescent="0.3">
      <c r="F55" s="78" t="s">
        <v>69</v>
      </c>
      <c r="G55" s="78" t="s">
        <v>75</v>
      </c>
      <c r="H55" s="75">
        <v>43664</v>
      </c>
      <c r="I55" s="76" t="s">
        <v>155</v>
      </c>
      <c r="J55" s="78" t="s">
        <v>156</v>
      </c>
      <c r="K55" s="78">
        <v>72</v>
      </c>
    </row>
    <row r="56" spans="6:11" hidden="1" x14ac:dyDescent="0.3">
      <c r="F56" s="78" t="s">
        <v>69</v>
      </c>
      <c r="G56" s="78" t="s">
        <v>75</v>
      </c>
      <c r="H56" s="75">
        <v>43665</v>
      </c>
      <c r="I56" s="76" t="s">
        <v>155</v>
      </c>
      <c r="J56" s="78" t="s">
        <v>242</v>
      </c>
      <c r="K56" s="78">
        <v>72</v>
      </c>
    </row>
    <row r="57" spans="6:11" hidden="1" x14ac:dyDescent="0.3">
      <c r="F57" s="78" t="s">
        <v>69</v>
      </c>
      <c r="G57" s="78" t="s">
        <v>75</v>
      </c>
      <c r="H57" s="75">
        <v>43666</v>
      </c>
      <c r="I57" s="76" t="s">
        <v>155</v>
      </c>
      <c r="J57" s="78" t="s">
        <v>242</v>
      </c>
      <c r="K57" s="78">
        <v>72</v>
      </c>
    </row>
    <row r="58" spans="6:11" hidden="1" x14ac:dyDescent="0.3">
      <c r="F58" s="78" t="s">
        <v>69</v>
      </c>
      <c r="G58" s="78" t="s">
        <v>75</v>
      </c>
      <c r="H58" s="75">
        <v>43667</v>
      </c>
      <c r="I58" s="76" t="s">
        <v>155</v>
      </c>
      <c r="J58" s="78" t="s">
        <v>241</v>
      </c>
      <c r="K58" s="78">
        <v>72</v>
      </c>
    </row>
    <row r="59" spans="6:11" hidden="1" x14ac:dyDescent="0.3">
      <c r="F59" s="78" t="s">
        <v>69</v>
      </c>
      <c r="G59" s="78" t="s">
        <v>76</v>
      </c>
      <c r="H59" s="75">
        <v>43668</v>
      </c>
      <c r="I59" s="76" t="s">
        <v>250</v>
      </c>
      <c r="J59" s="78" t="s">
        <v>251</v>
      </c>
      <c r="K59" s="78">
        <v>38910</v>
      </c>
    </row>
    <row r="60" spans="6:11" hidden="1" x14ac:dyDescent="0.3">
      <c r="F60" s="78" t="s">
        <v>69</v>
      </c>
      <c r="G60" s="78" t="s">
        <v>76</v>
      </c>
      <c r="H60" s="75">
        <v>43669</v>
      </c>
      <c r="I60" s="76" t="s">
        <v>250</v>
      </c>
      <c r="J60" s="78" t="s">
        <v>256</v>
      </c>
      <c r="K60" s="78">
        <v>39014</v>
      </c>
    </row>
    <row r="61" spans="6:11" hidden="1" x14ac:dyDescent="0.3">
      <c r="F61" s="78" t="s">
        <v>69</v>
      </c>
      <c r="G61" s="78" t="s">
        <v>76</v>
      </c>
      <c r="H61" s="75">
        <v>43670</v>
      </c>
      <c r="I61" s="76" t="s">
        <v>250</v>
      </c>
      <c r="J61" s="78" t="s">
        <v>255</v>
      </c>
      <c r="K61" s="78">
        <v>39067</v>
      </c>
    </row>
    <row r="62" spans="6:11" hidden="1" x14ac:dyDescent="0.3">
      <c r="F62" s="78" t="s">
        <v>69</v>
      </c>
      <c r="G62" s="78" t="s">
        <v>76</v>
      </c>
      <c r="H62" s="75">
        <v>43671</v>
      </c>
      <c r="I62" s="76" t="s">
        <v>250</v>
      </c>
      <c r="J62" s="78" t="s">
        <v>257</v>
      </c>
      <c r="K62" s="78">
        <v>39134</v>
      </c>
    </row>
    <row r="63" spans="6:11" hidden="1" x14ac:dyDescent="0.3">
      <c r="F63" s="78" t="s">
        <v>69</v>
      </c>
      <c r="G63" s="78" t="s">
        <v>76</v>
      </c>
      <c r="H63" s="75">
        <v>43672</v>
      </c>
      <c r="I63" s="76" t="s">
        <v>250</v>
      </c>
      <c r="J63" s="78" t="s">
        <v>266</v>
      </c>
      <c r="K63" s="78">
        <v>39178</v>
      </c>
    </row>
    <row r="64" spans="6:11" hidden="1" x14ac:dyDescent="0.3">
      <c r="F64" s="78" t="s">
        <v>69</v>
      </c>
      <c r="G64" s="78" t="s">
        <v>76</v>
      </c>
      <c r="H64" s="75">
        <v>43673</v>
      </c>
      <c r="I64" s="76" t="s">
        <v>250</v>
      </c>
      <c r="J64" s="78" t="s">
        <v>267</v>
      </c>
      <c r="K64" s="78">
        <v>39218</v>
      </c>
    </row>
    <row r="65" spans="6:11" hidden="1" x14ac:dyDescent="0.3">
      <c r="F65" s="78" t="s">
        <v>69</v>
      </c>
      <c r="G65" s="78" t="s">
        <v>76</v>
      </c>
      <c r="H65" s="75">
        <v>43674</v>
      </c>
      <c r="I65" s="76" t="s">
        <v>250</v>
      </c>
      <c r="J65" s="78" t="s">
        <v>268</v>
      </c>
      <c r="K65" s="78">
        <v>39230</v>
      </c>
    </row>
    <row r="66" spans="6:11" hidden="1" x14ac:dyDescent="0.3">
      <c r="F66" s="78" t="s">
        <v>69</v>
      </c>
      <c r="G66" s="78" t="s">
        <v>76</v>
      </c>
      <c r="H66" s="75">
        <v>43675</v>
      </c>
      <c r="I66" s="76" t="s">
        <v>250</v>
      </c>
      <c r="J66" s="78" t="s">
        <v>269</v>
      </c>
      <c r="K66" s="78">
        <v>39230</v>
      </c>
    </row>
    <row r="67" spans="6:11" hidden="1" x14ac:dyDescent="0.3">
      <c r="F67" s="78" t="s">
        <v>69</v>
      </c>
      <c r="G67" s="78" t="s">
        <v>76</v>
      </c>
      <c r="H67" s="75">
        <v>43676</v>
      </c>
      <c r="I67" s="76" t="s">
        <v>250</v>
      </c>
      <c r="J67" s="78" t="s">
        <v>282</v>
      </c>
      <c r="K67" s="78">
        <v>39230</v>
      </c>
    </row>
    <row r="68" spans="6:11" hidden="1" x14ac:dyDescent="0.3">
      <c r="F68" s="78" t="s">
        <v>69</v>
      </c>
      <c r="G68" s="78" t="s">
        <v>76</v>
      </c>
      <c r="H68" s="75">
        <v>43677</v>
      </c>
      <c r="I68" s="76" t="s">
        <v>284</v>
      </c>
      <c r="J68" s="78" t="s">
        <v>283</v>
      </c>
      <c r="K68" s="78">
        <v>39355</v>
      </c>
    </row>
    <row r="69" spans="6:11" x14ac:dyDescent="0.3">
      <c r="F69" s="78" t="s">
        <v>69</v>
      </c>
      <c r="G69" s="78" t="s">
        <v>76</v>
      </c>
      <c r="H69" s="75">
        <v>43678</v>
      </c>
      <c r="I69" s="76" t="s">
        <v>284</v>
      </c>
      <c r="J69" s="78" t="s">
        <v>285</v>
      </c>
      <c r="K69" s="78">
        <v>39513</v>
      </c>
    </row>
    <row r="70" spans="6:11" hidden="1" x14ac:dyDescent="0.3">
      <c r="F70" s="78" t="s">
        <v>69</v>
      </c>
      <c r="G70" s="78" t="s">
        <v>76</v>
      </c>
      <c r="H70" s="75">
        <v>43679</v>
      </c>
      <c r="I70" s="76" t="s">
        <v>284</v>
      </c>
      <c r="J70" s="78" t="s">
        <v>286</v>
      </c>
      <c r="K70" s="78">
        <v>39678</v>
      </c>
    </row>
    <row r="71" spans="6:11" hidden="1" x14ac:dyDescent="0.3">
      <c r="F71" s="78" t="s">
        <v>69</v>
      </c>
      <c r="G71" s="78" t="s">
        <v>75</v>
      </c>
      <c r="H71" s="75">
        <v>43680</v>
      </c>
      <c r="I71" s="76" t="s">
        <v>155</v>
      </c>
      <c r="J71" s="78" t="s">
        <v>279</v>
      </c>
      <c r="K71" s="78">
        <v>72</v>
      </c>
    </row>
    <row r="72" spans="6:11" hidden="1" x14ac:dyDescent="0.3">
      <c r="F72" s="78" t="s">
        <v>69</v>
      </c>
      <c r="G72" s="78" t="s">
        <v>75</v>
      </c>
      <c r="H72" s="75">
        <v>43681</v>
      </c>
      <c r="I72" s="76" t="s">
        <v>281</v>
      </c>
      <c r="J72" s="78" t="s">
        <v>280</v>
      </c>
      <c r="K72" s="78">
        <v>72</v>
      </c>
    </row>
    <row r="73" spans="6:11" hidden="1" x14ac:dyDescent="0.3">
      <c r="F73" s="78" t="s">
        <v>69</v>
      </c>
      <c r="G73" s="78" t="s">
        <v>76</v>
      </c>
      <c r="H73" s="75">
        <v>43682</v>
      </c>
      <c r="I73" s="76" t="s">
        <v>291</v>
      </c>
      <c r="J73" s="78" t="s">
        <v>294</v>
      </c>
      <c r="K73" s="78">
        <v>39767</v>
      </c>
    </row>
    <row r="74" spans="6:11" hidden="1" x14ac:dyDescent="0.3">
      <c r="F74" s="78" t="s">
        <v>69</v>
      </c>
      <c r="G74" s="78" t="s">
        <v>76</v>
      </c>
      <c r="H74" s="75">
        <v>43683</v>
      </c>
      <c r="I74" s="76" t="s">
        <v>291</v>
      </c>
      <c r="J74" s="78" t="s">
        <v>292</v>
      </c>
      <c r="K74" s="78">
        <v>39860</v>
      </c>
    </row>
    <row r="75" spans="6:11" hidden="1" x14ac:dyDescent="0.3">
      <c r="F75" s="78" t="s">
        <v>69</v>
      </c>
      <c r="G75" s="78" t="s">
        <v>76</v>
      </c>
      <c r="H75" s="75">
        <v>43684</v>
      </c>
      <c r="I75" s="76" t="s">
        <v>291</v>
      </c>
      <c r="J75" s="78" t="s">
        <v>293</v>
      </c>
      <c r="K75" s="78">
        <v>39922</v>
      </c>
    </row>
    <row r="76" spans="6:11" hidden="1" x14ac:dyDescent="0.3">
      <c r="F76" s="78" t="s">
        <v>69</v>
      </c>
      <c r="G76" s="78" t="s">
        <v>76</v>
      </c>
      <c r="H76" s="75">
        <v>43685</v>
      </c>
      <c r="I76" s="76" t="s">
        <v>311</v>
      </c>
      <c r="J76" s="78" t="s">
        <v>310</v>
      </c>
      <c r="K76" s="78">
        <v>40028</v>
      </c>
    </row>
    <row r="77" spans="6:11" hidden="1" x14ac:dyDescent="0.3">
      <c r="F77" s="78" t="s">
        <v>69</v>
      </c>
      <c r="G77" s="78" t="s">
        <v>76</v>
      </c>
      <c r="H77" s="75">
        <v>43686</v>
      </c>
      <c r="I77" s="76" t="s">
        <v>311</v>
      </c>
      <c r="J77" s="78" t="s">
        <v>312</v>
      </c>
      <c r="K77" s="78">
        <v>40094</v>
      </c>
    </row>
    <row r="78" spans="6:11" hidden="1" x14ac:dyDescent="0.3">
      <c r="F78" s="78" t="s">
        <v>69</v>
      </c>
      <c r="G78" s="78" t="s">
        <v>76</v>
      </c>
      <c r="H78" s="75">
        <v>43687</v>
      </c>
      <c r="I78" s="76" t="s">
        <v>311</v>
      </c>
      <c r="J78" s="78" t="s">
        <v>313</v>
      </c>
      <c r="K78" s="78">
        <v>40213</v>
      </c>
    </row>
    <row r="79" spans="6:11" hidden="1" x14ac:dyDescent="0.3">
      <c r="F79" s="78" t="s">
        <v>69</v>
      </c>
      <c r="G79" s="78" t="s">
        <v>76</v>
      </c>
      <c r="H79" s="75">
        <v>43688</v>
      </c>
      <c r="I79" s="76" t="s">
        <v>311</v>
      </c>
      <c r="J79" s="78" t="s">
        <v>314</v>
      </c>
      <c r="K79" s="78">
        <v>40213</v>
      </c>
    </row>
    <row r="80" spans="6:11" hidden="1" x14ac:dyDescent="0.3">
      <c r="F80" s="78" t="s">
        <v>69</v>
      </c>
      <c r="G80" s="78" t="s">
        <v>75</v>
      </c>
      <c r="H80" s="75">
        <v>43689</v>
      </c>
      <c r="I80" s="76">
        <v>0</v>
      </c>
      <c r="J80" s="78" t="s">
        <v>123</v>
      </c>
      <c r="K80" s="78">
        <v>0</v>
      </c>
    </row>
    <row r="81" spans="6:11" hidden="1" x14ac:dyDescent="0.3">
      <c r="F81" s="78" t="s">
        <v>69</v>
      </c>
      <c r="G81" s="78" t="s">
        <v>75</v>
      </c>
      <c r="H81" s="75">
        <v>43690</v>
      </c>
      <c r="I81" s="76" t="s">
        <v>155</v>
      </c>
      <c r="J81" s="78" t="s">
        <v>318</v>
      </c>
      <c r="K81" s="78">
        <v>72</v>
      </c>
    </row>
    <row r="82" spans="6:11" hidden="1" x14ac:dyDescent="0.3">
      <c r="F82" s="78" t="s">
        <v>69</v>
      </c>
      <c r="G82" s="78" t="s">
        <v>76</v>
      </c>
      <c r="H82" s="75">
        <v>43691</v>
      </c>
      <c r="I82" s="76" t="s">
        <v>316</v>
      </c>
      <c r="J82" s="78" t="s">
        <v>315</v>
      </c>
      <c r="K82" s="78">
        <v>39965</v>
      </c>
    </row>
    <row r="83" spans="6:11" hidden="1" x14ac:dyDescent="0.3">
      <c r="F83" s="78" t="s">
        <v>69</v>
      </c>
      <c r="G83" s="78" t="s">
        <v>76</v>
      </c>
      <c r="H83" s="75">
        <v>43692</v>
      </c>
      <c r="I83" s="76" t="s">
        <v>316</v>
      </c>
      <c r="J83" s="78" t="s">
        <v>317</v>
      </c>
      <c r="K83" s="78">
        <v>40047</v>
      </c>
    </row>
    <row r="84" spans="6:11" hidden="1" x14ac:dyDescent="0.3">
      <c r="F84" s="78" t="s">
        <v>69</v>
      </c>
      <c r="G84" s="78" t="s">
        <v>76</v>
      </c>
      <c r="H84" s="75">
        <v>43693</v>
      </c>
      <c r="I84" s="76" t="s">
        <v>316</v>
      </c>
      <c r="J84" s="78" t="s">
        <v>317</v>
      </c>
      <c r="K84" s="78">
        <v>40105</v>
      </c>
    </row>
    <row r="85" spans="6:11" hidden="1" x14ac:dyDescent="0.3">
      <c r="F85" s="78" t="s">
        <v>69</v>
      </c>
      <c r="G85" s="78" t="s">
        <v>76</v>
      </c>
      <c r="H85" s="75">
        <v>43694</v>
      </c>
      <c r="I85" s="76" t="s">
        <v>316</v>
      </c>
      <c r="J85" s="78" t="s">
        <v>347</v>
      </c>
      <c r="K85" s="78">
        <v>40193</v>
      </c>
    </row>
    <row r="86" spans="6:11" hidden="1" x14ac:dyDescent="0.3">
      <c r="F86" s="78" t="s">
        <v>69</v>
      </c>
      <c r="G86" s="78" t="s">
        <v>76</v>
      </c>
      <c r="H86" s="75">
        <v>43695</v>
      </c>
      <c r="I86" s="76" t="s">
        <v>316</v>
      </c>
      <c r="J86" s="78" t="s">
        <v>348</v>
      </c>
      <c r="K86" s="78">
        <v>40193</v>
      </c>
    </row>
    <row r="87" spans="6:11" hidden="1" x14ac:dyDescent="0.3">
      <c r="F87" s="78" t="s">
        <v>69</v>
      </c>
      <c r="G87" s="78" t="s">
        <v>76</v>
      </c>
      <c r="H87" s="75">
        <v>43696</v>
      </c>
      <c r="I87" s="76" t="s">
        <v>316</v>
      </c>
      <c r="J87" s="78" t="s">
        <v>349</v>
      </c>
      <c r="K87" s="78">
        <v>40193</v>
      </c>
    </row>
    <row r="88" spans="6:11" hidden="1" x14ac:dyDescent="0.3">
      <c r="F88" s="78" t="s">
        <v>69</v>
      </c>
      <c r="G88" s="78" t="s">
        <v>76</v>
      </c>
      <c r="H88" s="75">
        <v>43697</v>
      </c>
      <c r="I88" s="76" t="s">
        <v>316</v>
      </c>
      <c r="J88" s="78" t="s">
        <v>350</v>
      </c>
      <c r="K88" s="78">
        <v>40271</v>
      </c>
    </row>
    <row r="89" spans="6:11" hidden="1" x14ac:dyDescent="0.3">
      <c r="F89" s="78" t="s">
        <v>69</v>
      </c>
      <c r="G89" s="78" t="s">
        <v>76</v>
      </c>
      <c r="H89" s="75">
        <v>43698</v>
      </c>
      <c r="I89" s="76" t="s">
        <v>352</v>
      </c>
      <c r="J89" s="78" t="s">
        <v>351</v>
      </c>
      <c r="K89" s="78">
        <v>40388</v>
      </c>
    </row>
    <row r="90" spans="6:11" hidden="1" x14ac:dyDescent="0.3">
      <c r="F90" s="78" t="s">
        <v>69</v>
      </c>
      <c r="G90" s="78" t="s">
        <v>76</v>
      </c>
      <c r="H90" s="75">
        <v>43699</v>
      </c>
      <c r="I90" s="76" t="s">
        <v>352</v>
      </c>
      <c r="J90" s="78" t="s">
        <v>353</v>
      </c>
      <c r="K90" s="84">
        <v>40409</v>
      </c>
    </row>
    <row r="91" spans="6:11" hidden="1" x14ac:dyDescent="0.3">
      <c r="F91" s="78" t="s">
        <v>69</v>
      </c>
      <c r="G91" s="78" t="s">
        <v>76</v>
      </c>
      <c r="H91" s="75">
        <v>43700</v>
      </c>
      <c r="I91" s="76" t="s">
        <v>352</v>
      </c>
      <c r="J91" s="78" t="s">
        <v>354</v>
      </c>
      <c r="K91" s="84">
        <v>40445</v>
      </c>
    </row>
    <row r="92" spans="6:11" hidden="1" x14ac:dyDescent="0.3">
      <c r="F92" s="78" t="s">
        <v>69</v>
      </c>
      <c r="G92" s="78" t="s">
        <v>75</v>
      </c>
      <c r="H92" s="75">
        <v>43701</v>
      </c>
      <c r="I92" s="76" t="s">
        <v>345</v>
      </c>
      <c r="J92" s="78" t="s">
        <v>344</v>
      </c>
      <c r="K92" s="84">
        <v>96</v>
      </c>
    </row>
    <row r="93" spans="6:11" hidden="1" x14ac:dyDescent="0.3">
      <c r="F93" s="78" t="s">
        <v>69</v>
      </c>
      <c r="G93" s="78" t="s">
        <v>76</v>
      </c>
      <c r="H93" s="75">
        <v>43702</v>
      </c>
      <c r="I93" s="76" t="s">
        <v>352</v>
      </c>
      <c r="J93" s="78" t="s">
        <v>355</v>
      </c>
      <c r="K93" s="78">
        <v>40514</v>
      </c>
    </row>
    <row r="94" spans="6:11" hidden="1" x14ac:dyDescent="0.3">
      <c r="F94" s="78" t="s">
        <v>69</v>
      </c>
      <c r="G94" s="78" t="s">
        <v>76</v>
      </c>
      <c r="H94" s="75">
        <v>43703</v>
      </c>
      <c r="I94" s="76" t="s">
        <v>352</v>
      </c>
      <c r="J94" s="78" t="s">
        <v>356</v>
      </c>
      <c r="K94" s="78">
        <v>40514</v>
      </c>
    </row>
    <row r="95" spans="6:11" hidden="1" x14ac:dyDescent="0.3">
      <c r="F95" s="78" t="s">
        <v>69</v>
      </c>
      <c r="G95" s="78" t="s">
        <v>76</v>
      </c>
      <c r="H95" s="75">
        <v>43704</v>
      </c>
      <c r="I95" s="76" t="s">
        <v>352</v>
      </c>
      <c r="J95" s="78" t="s">
        <v>357</v>
      </c>
      <c r="K95" s="78">
        <v>40660</v>
      </c>
    </row>
    <row r="96" spans="6:11" hidden="1" x14ac:dyDescent="0.3">
      <c r="F96" s="78" t="s">
        <v>69</v>
      </c>
      <c r="G96" s="78" t="s">
        <v>75</v>
      </c>
      <c r="H96" s="75">
        <v>43705</v>
      </c>
      <c r="I96" s="76" t="s">
        <v>130</v>
      </c>
      <c r="J96" s="78" t="s">
        <v>280</v>
      </c>
      <c r="K96" s="78">
        <v>73</v>
      </c>
    </row>
    <row r="97" spans="6:15" hidden="1" x14ac:dyDescent="0.3">
      <c r="F97" s="78" t="s">
        <v>69</v>
      </c>
      <c r="G97" s="78" t="s">
        <v>75</v>
      </c>
      <c r="H97" s="75">
        <v>43706</v>
      </c>
      <c r="I97" s="76" t="s">
        <v>130</v>
      </c>
      <c r="J97" s="78" t="s">
        <v>346</v>
      </c>
      <c r="K97" s="78">
        <v>73</v>
      </c>
    </row>
    <row r="98" spans="6:15" hidden="1" x14ac:dyDescent="0.3">
      <c r="F98" s="78" t="s">
        <v>69</v>
      </c>
      <c r="G98" s="78" t="s">
        <v>76</v>
      </c>
      <c r="H98" s="32">
        <v>43707</v>
      </c>
      <c r="I98" s="39" t="s">
        <v>374</v>
      </c>
      <c r="J98" s="39" t="s">
        <v>373</v>
      </c>
      <c r="K98" s="44">
        <v>40913</v>
      </c>
    </row>
    <row r="99" spans="6:15" hidden="1" x14ac:dyDescent="0.3">
      <c r="F99" s="78" t="s">
        <v>69</v>
      </c>
      <c r="G99" s="78" t="s">
        <v>76</v>
      </c>
      <c r="H99" s="75">
        <v>43708</v>
      </c>
      <c r="I99" s="76" t="s">
        <v>385</v>
      </c>
      <c r="J99" s="78" t="s">
        <v>384</v>
      </c>
      <c r="K99" s="78">
        <v>41030</v>
      </c>
    </row>
    <row r="100" spans="6:15" x14ac:dyDescent="0.3">
      <c r="F100" s="78" t="s">
        <v>69</v>
      </c>
      <c r="G100" s="78" t="s">
        <v>76</v>
      </c>
      <c r="H100" s="75">
        <v>43709</v>
      </c>
      <c r="I100" s="76" t="s">
        <v>385</v>
      </c>
      <c r="J100" s="78" t="s">
        <v>386</v>
      </c>
      <c r="K100" s="78">
        <v>41030</v>
      </c>
    </row>
    <row r="101" spans="6:15" hidden="1" x14ac:dyDescent="0.3">
      <c r="F101" s="78" t="s">
        <v>69</v>
      </c>
      <c r="G101" s="78" t="s">
        <v>76</v>
      </c>
      <c r="H101" s="75">
        <v>43710</v>
      </c>
      <c r="I101" s="76" t="s">
        <v>385</v>
      </c>
      <c r="J101" s="78" t="s">
        <v>77</v>
      </c>
      <c r="K101" s="78">
        <v>41030</v>
      </c>
    </row>
    <row r="102" spans="6:15" hidden="1" x14ac:dyDescent="0.3">
      <c r="F102" s="78" t="s">
        <v>69</v>
      </c>
      <c r="G102" s="78" t="s">
        <v>76</v>
      </c>
      <c r="H102" s="75">
        <v>43711</v>
      </c>
      <c r="I102" s="39" t="s">
        <v>388</v>
      </c>
      <c r="J102" s="39" t="s">
        <v>395</v>
      </c>
      <c r="K102" s="84">
        <v>40975</v>
      </c>
    </row>
    <row r="103" spans="6:15" hidden="1" x14ac:dyDescent="0.3">
      <c r="F103" s="78" t="s">
        <v>69</v>
      </c>
      <c r="G103" s="78" t="s">
        <v>76</v>
      </c>
      <c r="H103" s="32">
        <v>43712</v>
      </c>
      <c r="I103" s="39" t="s">
        <v>388</v>
      </c>
      <c r="J103" s="39" t="s">
        <v>394</v>
      </c>
      <c r="K103" s="84">
        <v>40892</v>
      </c>
    </row>
    <row r="104" spans="6:15" hidden="1" x14ac:dyDescent="0.3">
      <c r="F104" s="78" t="s">
        <v>69</v>
      </c>
      <c r="G104" s="78" t="s">
        <v>76</v>
      </c>
      <c r="H104" s="75">
        <v>43713</v>
      </c>
      <c r="I104" s="39" t="s">
        <v>388</v>
      </c>
      <c r="J104" s="39" t="s">
        <v>395</v>
      </c>
      <c r="K104">
        <v>40975</v>
      </c>
    </row>
    <row r="105" spans="6:15" hidden="1" x14ac:dyDescent="0.3">
      <c r="F105" s="78" t="s">
        <v>69</v>
      </c>
      <c r="G105" s="78" t="s">
        <v>76</v>
      </c>
      <c r="H105" s="75">
        <v>43714</v>
      </c>
      <c r="I105" s="39" t="s">
        <v>406</v>
      </c>
      <c r="J105" s="39" t="s">
        <v>407</v>
      </c>
      <c r="K105">
        <v>41090</v>
      </c>
    </row>
    <row r="106" spans="6:15" hidden="1" x14ac:dyDescent="0.3">
      <c r="F106" s="78" t="s">
        <v>69</v>
      </c>
      <c r="G106" s="78" t="s">
        <v>76</v>
      </c>
      <c r="H106" s="75">
        <v>43715</v>
      </c>
      <c r="I106" s="76" t="s">
        <v>406</v>
      </c>
      <c r="J106" s="78" t="s">
        <v>405</v>
      </c>
      <c r="K106" s="78">
        <v>41225</v>
      </c>
    </row>
    <row r="107" spans="6:15" hidden="1" x14ac:dyDescent="0.3">
      <c r="F107" s="78" t="s">
        <v>69</v>
      </c>
      <c r="G107" s="78" t="s">
        <v>76</v>
      </c>
      <c r="H107" s="75">
        <v>43716</v>
      </c>
      <c r="I107" s="76" t="s">
        <v>406</v>
      </c>
      <c r="J107" s="78" t="s">
        <v>408</v>
      </c>
      <c r="K107" s="78">
        <v>41225</v>
      </c>
    </row>
    <row r="108" spans="6:15" x14ac:dyDescent="0.3">
      <c r="F108" s="78" t="s">
        <v>69</v>
      </c>
      <c r="G108" s="78" t="s">
        <v>76</v>
      </c>
      <c r="H108" s="75">
        <v>43717</v>
      </c>
      <c r="I108" s="76" t="s">
        <v>406</v>
      </c>
      <c r="J108" s="78" t="s">
        <v>409</v>
      </c>
      <c r="K108" s="78">
        <v>41225</v>
      </c>
      <c r="N108" s="32"/>
      <c r="O108"/>
    </row>
    <row r="109" spans="6:15" x14ac:dyDescent="0.3">
      <c r="F109" s="78" t="s">
        <v>69</v>
      </c>
      <c r="G109" s="78" t="s">
        <v>76</v>
      </c>
      <c r="H109" s="75">
        <v>43718</v>
      </c>
      <c r="I109" s="76" t="s">
        <v>411</v>
      </c>
      <c r="J109" s="78" t="s">
        <v>410</v>
      </c>
      <c r="K109" s="78">
        <v>41309</v>
      </c>
    </row>
    <row r="110" spans="6:15" x14ac:dyDescent="0.3">
      <c r="F110" s="78" t="s">
        <v>69</v>
      </c>
      <c r="G110" s="78" t="s">
        <v>76</v>
      </c>
      <c r="H110" s="75">
        <v>43719</v>
      </c>
      <c r="I110" s="76" t="s">
        <v>413</v>
      </c>
      <c r="J110" s="78" t="s">
        <v>412</v>
      </c>
      <c r="K110" s="78">
        <v>41437</v>
      </c>
    </row>
    <row r="111" spans="6:15" x14ac:dyDescent="0.3">
      <c r="F111" s="78" t="s">
        <v>69</v>
      </c>
      <c r="G111" s="78" t="s">
        <v>76</v>
      </c>
      <c r="H111" s="75">
        <v>43720</v>
      </c>
      <c r="I111" s="76" t="s">
        <v>415</v>
      </c>
      <c r="J111" s="78" t="s">
        <v>414</v>
      </c>
      <c r="K111" s="90">
        <v>41548</v>
      </c>
    </row>
    <row r="112" spans="6:15" x14ac:dyDescent="0.3">
      <c r="F112" s="78" t="s">
        <v>69</v>
      </c>
      <c r="G112" s="78" t="s">
        <v>76</v>
      </c>
      <c r="H112" s="75">
        <v>43721</v>
      </c>
      <c r="I112" s="76" t="s">
        <v>415</v>
      </c>
      <c r="J112" s="78" t="s">
        <v>116</v>
      </c>
      <c r="K112" s="90">
        <v>41631</v>
      </c>
    </row>
    <row r="113" spans="6:15" x14ac:dyDescent="0.3">
      <c r="F113" s="78" t="s">
        <v>69</v>
      </c>
      <c r="G113" s="78" t="s">
        <v>76</v>
      </c>
      <c r="H113" s="75">
        <v>43722</v>
      </c>
      <c r="I113" s="76" t="s">
        <v>250</v>
      </c>
      <c r="J113" s="78" t="s">
        <v>416</v>
      </c>
      <c r="K113" s="90">
        <v>41700</v>
      </c>
      <c r="N113" s="32"/>
      <c r="O113"/>
    </row>
    <row r="114" spans="6:15" x14ac:dyDescent="0.3">
      <c r="K114" s="89"/>
      <c r="N114" s="32"/>
      <c r="O114"/>
    </row>
    <row r="115" spans="6:15" x14ac:dyDescent="0.3">
      <c r="K115" s="89"/>
      <c r="N115" s="32"/>
      <c r="O115"/>
    </row>
    <row r="116" spans="6:15" x14ac:dyDescent="0.3">
      <c r="N116" s="32"/>
      <c r="O116"/>
    </row>
    <row r="117" spans="6:15" x14ac:dyDescent="0.3">
      <c r="N117" s="32"/>
    </row>
    <row r="118" spans="6:15" x14ac:dyDescent="0.3">
      <c r="N118" s="32"/>
    </row>
    <row r="119" spans="6:15" x14ac:dyDescent="0.3">
      <c r="N119" s="32"/>
    </row>
  </sheetData>
  <mergeCells count="1">
    <mergeCell ref="F1:K1"/>
  </mergeCells>
  <dataValidations count="2">
    <dataValidation type="list" allowBlank="1" showInputMessage="1" showErrorMessage="1" sqref="G4:G113" xr:uid="{17CE800E-2A3E-4681-8CEE-EBDF720187F8}">
      <formula1>$C$4:$C$5</formula1>
    </dataValidation>
    <dataValidation type="list" allowBlank="1" showInputMessage="1" showErrorMessage="1" sqref="F4:F279" xr:uid="{F89F94C3-312F-48F2-B010-5759498F97D8}">
      <formula1>$B$3:$B$5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5A743-36B4-430C-A6C3-36E6260CCBAB}">
  <sheetPr codeName="Planilha6"/>
  <dimension ref="B1:Q109"/>
  <sheetViews>
    <sheetView zoomScaleNormal="100" workbookViewId="0">
      <selection activeCell="P19" sqref="P19"/>
    </sheetView>
  </sheetViews>
  <sheetFormatPr defaultRowHeight="16.5" x14ac:dyDescent="0.3"/>
  <cols>
    <col min="6" max="6" width="14.75" customWidth="1"/>
    <col min="7" max="7" width="10.875" customWidth="1"/>
    <col min="8" max="8" width="13" bestFit="1" customWidth="1"/>
    <col min="9" max="9" width="9" style="51"/>
    <col min="10" max="10" width="30.25" customWidth="1"/>
    <col min="11" max="11" width="21.75" style="84" customWidth="1"/>
    <col min="12" max="12" width="21.625" customWidth="1"/>
    <col min="13" max="13" width="25.5" customWidth="1"/>
    <col min="14" max="14" width="10.625" style="32" customWidth="1"/>
    <col min="15" max="15" width="10.625" customWidth="1"/>
    <col min="16" max="16" width="30.25" customWidth="1"/>
    <col min="17" max="17" width="19.5" customWidth="1"/>
  </cols>
  <sheetData>
    <row r="1" spans="2:17" ht="22.5" x14ac:dyDescent="0.3">
      <c r="E1" s="87"/>
      <c r="F1" s="92" t="s">
        <v>86</v>
      </c>
      <c r="G1" s="92"/>
      <c r="H1" s="92"/>
      <c r="I1" s="92"/>
      <c r="J1" s="92"/>
      <c r="K1" s="92"/>
      <c r="N1"/>
    </row>
    <row r="2" spans="2:17" x14ac:dyDescent="0.3">
      <c r="I2"/>
      <c r="N2"/>
    </row>
    <row r="3" spans="2:17" x14ac:dyDescent="0.3">
      <c r="B3" t="s">
        <v>30</v>
      </c>
      <c r="F3" s="45" t="s">
        <v>35</v>
      </c>
      <c r="G3" s="45" t="s">
        <v>36</v>
      </c>
      <c r="H3" s="45" t="s">
        <v>37</v>
      </c>
      <c r="I3" s="45" t="s">
        <v>38</v>
      </c>
      <c r="J3" s="45" t="s">
        <v>58</v>
      </c>
      <c r="K3" s="85" t="s">
        <v>78</v>
      </c>
      <c r="L3" s="53"/>
      <c r="M3" s="56" t="s">
        <v>93</v>
      </c>
      <c r="N3" s="53"/>
    </row>
    <row r="4" spans="2:17" hidden="1" x14ac:dyDescent="0.3">
      <c r="B4" s="47" t="s">
        <v>70</v>
      </c>
      <c r="C4" t="s">
        <v>76</v>
      </c>
      <c r="F4" t="s">
        <v>30</v>
      </c>
      <c r="G4" t="s">
        <v>76</v>
      </c>
      <c r="H4" s="32">
        <v>43585</v>
      </c>
      <c r="I4" s="52" t="s">
        <v>88</v>
      </c>
      <c r="J4" t="s">
        <v>77</v>
      </c>
      <c r="K4" s="84">
        <v>95149</v>
      </c>
      <c r="L4" s="32"/>
      <c r="M4">
        <f>INDEX(Tabela167[Número de Arquivos],COUNT(Tabela167[Número de Arquivos]))-INDEX(Tabela167[Número de Arquivos],COUNT(Tabela167[Número de Arquivos])-1)</f>
        <v>180</v>
      </c>
      <c r="N4"/>
    </row>
    <row r="5" spans="2:17" x14ac:dyDescent="0.3">
      <c r="B5" s="46" t="s">
        <v>69</v>
      </c>
      <c r="C5" t="s">
        <v>75</v>
      </c>
      <c r="F5" t="s">
        <v>30</v>
      </c>
      <c r="G5" t="s">
        <v>76</v>
      </c>
      <c r="H5" s="91">
        <v>43586</v>
      </c>
      <c r="I5" s="52" t="s">
        <v>88</v>
      </c>
      <c r="J5" t="s">
        <v>87</v>
      </c>
      <c r="K5" s="84">
        <v>95372</v>
      </c>
      <c r="L5" s="32"/>
      <c r="N5"/>
    </row>
    <row r="6" spans="2:17" hidden="1" x14ac:dyDescent="0.3">
      <c r="F6" t="s">
        <v>30</v>
      </c>
      <c r="G6" t="s">
        <v>75</v>
      </c>
      <c r="H6" s="32">
        <v>43587</v>
      </c>
      <c r="I6" s="52" t="s">
        <v>98</v>
      </c>
      <c r="J6" t="s">
        <v>87</v>
      </c>
      <c r="K6" s="84">
        <v>95411</v>
      </c>
      <c r="L6" s="32"/>
      <c r="N6"/>
    </row>
    <row r="7" spans="2:17" hidden="1" x14ac:dyDescent="0.3">
      <c r="F7" t="s">
        <v>30</v>
      </c>
      <c r="G7" t="s">
        <v>75</v>
      </c>
      <c r="H7" s="32">
        <v>43590</v>
      </c>
      <c r="I7" s="52" t="s">
        <v>114</v>
      </c>
      <c r="J7" t="s">
        <v>115</v>
      </c>
      <c r="K7" s="84">
        <v>96181</v>
      </c>
    </row>
    <row r="8" spans="2:17" hidden="1" x14ac:dyDescent="0.3">
      <c r="F8" t="s">
        <v>30</v>
      </c>
      <c r="G8" t="s">
        <v>75</v>
      </c>
      <c r="H8" s="32">
        <v>43600</v>
      </c>
      <c r="I8" s="52" t="s">
        <v>120</v>
      </c>
      <c r="J8" t="s">
        <v>121</v>
      </c>
      <c r="K8" s="84">
        <v>60</v>
      </c>
      <c r="L8" s="32"/>
      <c r="N8"/>
    </row>
    <row r="9" spans="2:17" hidden="1" x14ac:dyDescent="0.3">
      <c r="F9" t="s">
        <v>30</v>
      </c>
      <c r="G9" t="s">
        <v>75</v>
      </c>
      <c r="H9" s="32">
        <v>43601</v>
      </c>
      <c r="I9" s="52" t="s">
        <v>122</v>
      </c>
      <c r="J9" t="s">
        <v>123</v>
      </c>
      <c r="K9" s="84">
        <v>0</v>
      </c>
      <c r="L9" s="48" t="s">
        <v>35</v>
      </c>
      <c r="M9" s="49" t="s">
        <v>36</v>
      </c>
      <c r="N9" s="49" t="s">
        <v>37</v>
      </c>
      <c r="O9" s="49" t="s">
        <v>38</v>
      </c>
      <c r="P9" s="49" t="s">
        <v>58</v>
      </c>
      <c r="Q9" s="50" t="s">
        <v>78</v>
      </c>
    </row>
    <row r="10" spans="2:17" hidden="1" x14ac:dyDescent="0.3">
      <c r="F10" t="s">
        <v>30</v>
      </c>
      <c r="G10" t="s">
        <v>75</v>
      </c>
      <c r="H10" s="32">
        <v>43602</v>
      </c>
      <c r="I10" s="52" t="s">
        <v>125</v>
      </c>
      <c r="J10" t="s">
        <v>124</v>
      </c>
      <c r="K10" s="84">
        <v>23</v>
      </c>
      <c r="L10" t="str">
        <f>INDEX(Tabela167[TAREFA],COUNT(Tabela167[Número de Arquivos]))</f>
        <v>Protheus</v>
      </c>
      <c r="M10" t="str">
        <f>INDEX(Tabela167[TIPO],COUNT(Tabela167[DATA]))</f>
        <v>Incompleta</v>
      </c>
      <c r="N10" s="32">
        <f>INDEX(Tabela167[DATA],COUNT(Tabela167[DATA]))</f>
        <v>43722</v>
      </c>
      <c r="O10" t="str">
        <f>INDEX(Tabela167[GB],COUNT(Tabela167[DATA]))</f>
        <v>8,6 GB</v>
      </c>
      <c r="P10" t="str">
        <f>INDEX(Tabela167[Tempo],COUNT(Tabela167[DATA]))</f>
        <v xml:space="preserve">0 Horas, 20 Minutos, 34 Segundos </v>
      </c>
      <c r="Q10">
        <f>INDEX(Tabela167[Número de Arquivos],COUNT(Tabela167[DATA]))</f>
        <v>86326</v>
      </c>
    </row>
    <row r="11" spans="2:17" hidden="1" x14ac:dyDescent="0.3">
      <c r="F11" t="s">
        <v>30</v>
      </c>
      <c r="G11" t="s">
        <v>75</v>
      </c>
      <c r="H11" s="32">
        <v>43603</v>
      </c>
      <c r="I11" s="52" t="s">
        <v>125</v>
      </c>
      <c r="J11" t="s">
        <v>126</v>
      </c>
      <c r="K11" s="84">
        <v>62</v>
      </c>
    </row>
    <row r="12" spans="2:17" hidden="1" x14ac:dyDescent="0.3">
      <c r="F12" t="s">
        <v>30</v>
      </c>
      <c r="G12" t="s">
        <v>75</v>
      </c>
      <c r="H12" s="32">
        <v>43604</v>
      </c>
      <c r="I12" s="52" t="s">
        <v>125</v>
      </c>
      <c r="J12" t="s">
        <v>127</v>
      </c>
      <c r="K12" s="84">
        <v>62</v>
      </c>
    </row>
    <row r="13" spans="2:17" hidden="1" x14ac:dyDescent="0.3">
      <c r="F13" t="s">
        <v>30</v>
      </c>
      <c r="G13" t="s">
        <v>75</v>
      </c>
      <c r="H13" s="32">
        <v>43605</v>
      </c>
      <c r="I13" s="52" t="s">
        <v>125</v>
      </c>
      <c r="J13" t="s">
        <v>128</v>
      </c>
      <c r="K13" s="84">
        <v>62</v>
      </c>
    </row>
    <row r="14" spans="2:17" hidden="1" x14ac:dyDescent="0.3">
      <c r="F14" t="s">
        <v>30</v>
      </c>
      <c r="G14" t="s">
        <v>75</v>
      </c>
      <c r="H14" s="32">
        <v>43606</v>
      </c>
      <c r="I14" s="52" t="s">
        <v>130</v>
      </c>
      <c r="J14" t="s">
        <v>129</v>
      </c>
      <c r="K14" s="84">
        <v>60</v>
      </c>
    </row>
    <row r="15" spans="2:17" hidden="1" x14ac:dyDescent="0.3">
      <c r="F15" t="s">
        <v>30</v>
      </c>
      <c r="G15" t="s">
        <v>75</v>
      </c>
      <c r="H15" s="32">
        <v>43607</v>
      </c>
      <c r="I15" s="52" t="s">
        <v>130</v>
      </c>
      <c r="J15" t="s">
        <v>131</v>
      </c>
      <c r="K15" s="84">
        <v>60</v>
      </c>
      <c r="L15" s="53"/>
      <c r="M15" s="53"/>
      <c r="N15" s="53"/>
      <c r="O15" s="53"/>
      <c r="P15" s="53"/>
      <c r="Q15" s="53"/>
    </row>
    <row r="16" spans="2:17" hidden="1" x14ac:dyDescent="0.3">
      <c r="F16" t="s">
        <v>30</v>
      </c>
      <c r="G16" t="s">
        <v>75</v>
      </c>
      <c r="H16" s="32">
        <v>43627</v>
      </c>
      <c r="I16" s="52" t="s">
        <v>164</v>
      </c>
      <c r="J16" t="s">
        <v>165</v>
      </c>
      <c r="K16" s="84">
        <v>489</v>
      </c>
      <c r="L16" s="53"/>
      <c r="M16" s="53"/>
      <c r="N16" s="53"/>
      <c r="O16" s="53"/>
      <c r="P16" s="53"/>
      <c r="Q16" s="53"/>
    </row>
    <row r="17" spans="6:17" hidden="1" x14ac:dyDescent="0.3">
      <c r="F17" t="s">
        <v>30</v>
      </c>
      <c r="G17" t="s">
        <v>75</v>
      </c>
      <c r="H17" s="32">
        <v>43628</v>
      </c>
      <c r="I17" s="52" t="s">
        <v>166</v>
      </c>
      <c r="J17" t="s">
        <v>167</v>
      </c>
      <c r="K17" s="84">
        <v>103952</v>
      </c>
      <c r="L17" s="53"/>
      <c r="M17" s="53"/>
      <c r="N17" s="53"/>
      <c r="O17" s="53"/>
      <c r="P17" s="53"/>
      <c r="Q17" s="53"/>
    </row>
    <row r="18" spans="6:17" hidden="1" x14ac:dyDescent="0.3">
      <c r="F18" t="s">
        <v>30</v>
      </c>
      <c r="G18" t="s">
        <v>75</v>
      </c>
      <c r="H18" s="32">
        <v>43629</v>
      </c>
      <c r="I18" s="52" t="s">
        <v>146</v>
      </c>
      <c r="J18" t="s">
        <v>147</v>
      </c>
      <c r="K18" s="84">
        <v>104233</v>
      </c>
    </row>
    <row r="19" spans="6:17" hidden="1" x14ac:dyDescent="0.3">
      <c r="F19" t="s">
        <v>30</v>
      </c>
      <c r="G19" t="s">
        <v>75</v>
      </c>
      <c r="H19" s="32">
        <v>43630</v>
      </c>
      <c r="I19" s="52" t="s">
        <v>122</v>
      </c>
      <c r="J19" t="s">
        <v>148</v>
      </c>
      <c r="K19" s="84">
        <v>6</v>
      </c>
    </row>
    <row r="20" spans="6:17" hidden="1" x14ac:dyDescent="0.3">
      <c r="F20" t="s">
        <v>30</v>
      </c>
      <c r="G20" t="s">
        <v>75</v>
      </c>
      <c r="H20" s="32">
        <v>43631</v>
      </c>
      <c r="I20" s="52" t="s">
        <v>122</v>
      </c>
      <c r="J20" t="s">
        <v>149</v>
      </c>
      <c r="K20" s="84">
        <v>6</v>
      </c>
    </row>
    <row r="21" spans="6:17" hidden="1" x14ac:dyDescent="0.3">
      <c r="F21" t="s">
        <v>30</v>
      </c>
      <c r="G21" t="s">
        <v>75</v>
      </c>
      <c r="H21" s="32">
        <v>43632</v>
      </c>
      <c r="I21" s="52" t="s">
        <v>122</v>
      </c>
      <c r="J21" t="s">
        <v>150</v>
      </c>
      <c r="K21" s="84">
        <v>7</v>
      </c>
    </row>
    <row r="22" spans="6:17" hidden="1" x14ac:dyDescent="0.3">
      <c r="F22" t="s">
        <v>30</v>
      </c>
      <c r="G22" t="s">
        <v>75</v>
      </c>
      <c r="H22" s="32">
        <v>43633</v>
      </c>
      <c r="I22" s="52" t="s">
        <v>122</v>
      </c>
      <c r="J22" t="s">
        <v>151</v>
      </c>
      <c r="K22" s="84">
        <v>9</v>
      </c>
      <c r="M22" s="32"/>
      <c r="O22" s="39"/>
      <c r="P22" s="39"/>
      <c r="Q22" s="39"/>
    </row>
    <row r="23" spans="6:17" hidden="1" x14ac:dyDescent="0.3">
      <c r="F23" t="s">
        <v>30</v>
      </c>
      <c r="G23" t="s">
        <v>75</v>
      </c>
      <c r="H23" s="32">
        <v>43634</v>
      </c>
      <c r="I23" s="52" t="s">
        <v>122</v>
      </c>
      <c r="J23" t="s">
        <v>152</v>
      </c>
      <c r="K23" s="84">
        <v>9</v>
      </c>
    </row>
    <row r="24" spans="6:17" hidden="1" x14ac:dyDescent="0.3">
      <c r="F24" t="s">
        <v>30</v>
      </c>
      <c r="G24" t="s">
        <v>75</v>
      </c>
      <c r="H24" s="32">
        <v>43635</v>
      </c>
      <c r="I24" s="52" t="s">
        <v>122</v>
      </c>
      <c r="J24" t="s">
        <v>153</v>
      </c>
      <c r="K24" s="84">
        <v>9</v>
      </c>
    </row>
    <row r="25" spans="6:17" hidden="1" x14ac:dyDescent="0.3">
      <c r="F25" t="s">
        <v>30</v>
      </c>
      <c r="G25" t="s">
        <v>76</v>
      </c>
      <c r="H25" s="32">
        <v>43636</v>
      </c>
      <c r="I25" s="52" t="s">
        <v>170</v>
      </c>
      <c r="J25" t="s">
        <v>169</v>
      </c>
      <c r="K25" s="89">
        <v>106257</v>
      </c>
    </row>
    <row r="26" spans="6:17" hidden="1" x14ac:dyDescent="0.3">
      <c r="F26" t="s">
        <v>30</v>
      </c>
      <c r="G26" t="s">
        <v>76</v>
      </c>
      <c r="H26" s="32">
        <v>43637</v>
      </c>
      <c r="I26" s="52" t="s">
        <v>171</v>
      </c>
      <c r="J26" t="s">
        <v>172</v>
      </c>
      <c r="K26" s="84">
        <v>106469</v>
      </c>
    </row>
    <row r="27" spans="6:17" hidden="1" x14ac:dyDescent="0.3">
      <c r="F27" t="s">
        <v>30</v>
      </c>
      <c r="G27" t="s">
        <v>76</v>
      </c>
      <c r="H27" s="32">
        <v>43638</v>
      </c>
      <c r="I27" s="52" t="s">
        <v>177</v>
      </c>
      <c r="J27" t="s">
        <v>176</v>
      </c>
      <c r="K27" s="84">
        <v>94984</v>
      </c>
    </row>
    <row r="28" spans="6:17" hidden="1" x14ac:dyDescent="0.3">
      <c r="F28" t="s">
        <v>30</v>
      </c>
      <c r="G28" t="s">
        <v>76</v>
      </c>
      <c r="H28" s="32">
        <v>43639</v>
      </c>
      <c r="I28" s="52" t="s">
        <v>179</v>
      </c>
      <c r="J28" t="s">
        <v>178</v>
      </c>
      <c r="K28" s="84">
        <v>95225</v>
      </c>
    </row>
    <row r="29" spans="6:17" hidden="1" x14ac:dyDescent="0.3">
      <c r="F29" t="s">
        <v>30</v>
      </c>
      <c r="G29" t="s">
        <v>76</v>
      </c>
      <c r="H29" s="32">
        <v>43640</v>
      </c>
      <c r="I29" s="52" t="s">
        <v>179</v>
      </c>
      <c r="J29" t="s">
        <v>180</v>
      </c>
      <c r="K29" s="84">
        <v>95438</v>
      </c>
    </row>
    <row r="30" spans="6:17" hidden="1" x14ac:dyDescent="0.3">
      <c r="F30" t="s">
        <v>30</v>
      </c>
      <c r="G30" t="s">
        <v>76</v>
      </c>
      <c r="H30" s="32">
        <v>43641</v>
      </c>
      <c r="I30" s="52" t="s">
        <v>182</v>
      </c>
      <c r="J30" t="s">
        <v>181</v>
      </c>
      <c r="K30" s="84">
        <v>95667</v>
      </c>
    </row>
    <row r="31" spans="6:17" hidden="1" x14ac:dyDescent="0.3">
      <c r="F31" t="s">
        <v>30</v>
      </c>
      <c r="G31" t="s">
        <v>76</v>
      </c>
      <c r="H31" s="32">
        <v>43642</v>
      </c>
      <c r="I31" s="52" t="s">
        <v>182</v>
      </c>
      <c r="J31" t="s">
        <v>187</v>
      </c>
      <c r="K31" s="84">
        <v>96008</v>
      </c>
    </row>
    <row r="32" spans="6:17" hidden="1" x14ac:dyDescent="0.3">
      <c r="F32" t="s">
        <v>30</v>
      </c>
      <c r="G32" t="s">
        <v>76</v>
      </c>
      <c r="H32" s="32">
        <v>43643</v>
      </c>
      <c r="I32" s="52" t="s">
        <v>188</v>
      </c>
      <c r="J32" t="s">
        <v>189</v>
      </c>
      <c r="K32" s="84">
        <v>96314</v>
      </c>
    </row>
    <row r="33" spans="6:11" hidden="1" x14ac:dyDescent="0.3">
      <c r="F33" t="s">
        <v>30</v>
      </c>
      <c r="G33" t="s">
        <v>76</v>
      </c>
      <c r="H33" s="32">
        <v>43644</v>
      </c>
      <c r="I33" s="52" t="s">
        <v>188</v>
      </c>
      <c r="J33" t="s">
        <v>190</v>
      </c>
      <c r="K33" s="84">
        <v>96595</v>
      </c>
    </row>
    <row r="34" spans="6:11" hidden="1" x14ac:dyDescent="0.3">
      <c r="F34" t="s">
        <v>30</v>
      </c>
      <c r="G34" t="s">
        <v>76</v>
      </c>
      <c r="H34" s="32">
        <v>43645</v>
      </c>
      <c r="I34" s="52" t="s">
        <v>192</v>
      </c>
      <c r="J34" t="s">
        <v>191</v>
      </c>
      <c r="K34" s="84">
        <v>96910</v>
      </c>
    </row>
    <row r="35" spans="6:11" hidden="1" x14ac:dyDescent="0.3">
      <c r="F35" t="s">
        <v>30</v>
      </c>
      <c r="G35" t="s">
        <v>76</v>
      </c>
      <c r="H35" s="32">
        <v>43646</v>
      </c>
      <c r="I35" s="52" t="s">
        <v>192</v>
      </c>
      <c r="J35" t="s">
        <v>193</v>
      </c>
      <c r="K35" s="84">
        <v>97328</v>
      </c>
    </row>
    <row r="36" spans="6:11" x14ac:dyDescent="0.3">
      <c r="F36" t="s">
        <v>30</v>
      </c>
      <c r="G36" t="s">
        <v>76</v>
      </c>
      <c r="H36" s="91">
        <v>43647</v>
      </c>
      <c r="I36" s="52" t="s">
        <v>195</v>
      </c>
      <c r="J36" t="s">
        <v>194</v>
      </c>
      <c r="K36" s="84">
        <v>97629</v>
      </c>
    </row>
    <row r="37" spans="6:11" hidden="1" x14ac:dyDescent="0.3">
      <c r="F37" t="s">
        <v>30</v>
      </c>
      <c r="G37" t="s">
        <v>76</v>
      </c>
      <c r="H37" s="32">
        <v>43648</v>
      </c>
      <c r="I37" s="52" t="s">
        <v>195</v>
      </c>
      <c r="J37" t="s">
        <v>196</v>
      </c>
      <c r="K37" s="84">
        <v>97973</v>
      </c>
    </row>
    <row r="38" spans="6:11" hidden="1" x14ac:dyDescent="0.3">
      <c r="F38" t="s">
        <v>30</v>
      </c>
      <c r="G38" t="s">
        <v>76</v>
      </c>
      <c r="H38" s="32">
        <v>43649</v>
      </c>
      <c r="I38" s="52" t="s">
        <v>198</v>
      </c>
      <c r="J38" t="s">
        <v>197</v>
      </c>
      <c r="K38" s="84">
        <v>98330</v>
      </c>
    </row>
    <row r="39" spans="6:11" hidden="1" x14ac:dyDescent="0.3">
      <c r="F39" t="s">
        <v>30</v>
      </c>
      <c r="G39" t="s">
        <v>76</v>
      </c>
      <c r="H39" s="32">
        <v>43650</v>
      </c>
      <c r="I39" s="52" t="s">
        <v>198</v>
      </c>
      <c r="J39" t="s">
        <v>207</v>
      </c>
      <c r="K39" s="84">
        <v>98695</v>
      </c>
    </row>
    <row r="40" spans="6:11" hidden="1" x14ac:dyDescent="0.3">
      <c r="F40" t="s">
        <v>30</v>
      </c>
      <c r="G40" t="s">
        <v>76</v>
      </c>
      <c r="H40" s="32">
        <v>43651</v>
      </c>
      <c r="I40" s="52" t="s">
        <v>211</v>
      </c>
      <c r="J40" t="s">
        <v>210</v>
      </c>
      <c r="K40" s="84">
        <v>99050</v>
      </c>
    </row>
    <row r="41" spans="6:11" hidden="1" x14ac:dyDescent="0.3">
      <c r="F41" t="s">
        <v>30</v>
      </c>
      <c r="G41" t="s">
        <v>76</v>
      </c>
      <c r="H41" s="32">
        <v>43652</v>
      </c>
      <c r="I41" s="52" t="s">
        <v>209</v>
      </c>
      <c r="J41" t="s">
        <v>208</v>
      </c>
      <c r="K41" s="84">
        <v>99457</v>
      </c>
    </row>
    <row r="42" spans="6:11" hidden="1" x14ac:dyDescent="0.3">
      <c r="F42" t="s">
        <v>30</v>
      </c>
      <c r="G42" t="s">
        <v>76</v>
      </c>
      <c r="H42" s="32">
        <v>43653</v>
      </c>
      <c r="I42" s="52" t="s">
        <v>209</v>
      </c>
      <c r="J42" t="s">
        <v>216</v>
      </c>
      <c r="K42" s="84">
        <v>99953</v>
      </c>
    </row>
    <row r="43" spans="6:11" hidden="1" x14ac:dyDescent="0.3">
      <c r="F43" t="s">
        <v>30</v>
      </c>
      <c r="G43" t="s">
        <v>76</v>
      </c>
      <c r="H43" s="32">
        <v>43654</v>
      </c>
      <c r="I43" s="52" t="s">
        <v>218</v>
      </c>
      <c r="J43" t="s">
        <v>217</v>
      </c>
      <c r="K43" s="84">
        <v>1</v>
      </c>
    </row>
    <row r="44" spans="6:11" hidden="1" x14ac:dyDescent="0.3">
      <c r="F44" t="s">
        <v>30</v>
      </c>
      <c r="G44" t="s">
        <v>76</v>
      </c>
      <c r="H44" s="32">
        <v>43655</v>
      </c>
      <c r="I44" s="52" t="s">
        <v>218</v>
      </c>
      <c r="J44" t="s">
        <v>221</v>
      </c>
      <c r="K44" s="84">
        <v>100656</v>
      </c>
    </row>
    <row r="45" spans="6:11" hidden="1" x14ac:dyDescent="0.3">
      <c r="F45" t="s">
        <v>30</v>
      </c>
      <c r="G45" t="s">
        <v>76</v>
      </c>
      <c r="H45" s="32">
        <v>43656</v>
      </c>
      <c r="I45" s="52" t="s">
        <v>223</v>
      </c>
      <c r="J45" t="s">
        <v>222</v>
      </c>
      <c r="K45" s="84">
        <v>100980</v>
      </c>
    </row>
    <row r="46" spans="6:11" hidden="1" x14ac:dyDescent="0.3">
      <c r="F46" t="s">
        <v>30</v>
      </c>
      <c r="G46" t="s">
        <v>76</v>
      </c>
      <c r="H46" s="32">
        <v>43657</v>
      </c>
      <c r="I46" s="52" t="s">
        <v>223</v>
      </c>
      <c r="J46" t="s">
        <v>226</v>
      </c>
      <c r="K46" s="84">
        <v>101344</v>
      </c>
    </row>
    <row r="47" spans="6:11" hidden="1" x14ac:dyDescent="0.3">
      <c r="F47" t="s">
        <v>30</v>
      </c>
      <c r="G47" t="s">
        <v>76</v>
      </c>
      <c r="H47" s="32">
        <v>43658</v>
      </c>
      <c r="I47" s="52" t="s">
        <v>228</v>
      </c>
      <c r="J47" t="s">
        <v>229</v>
      </c>
      <c r="K47" s="84">
        <v>101721</v>
      </c>
    </row>
    <row r="48" spans="6:11" hidden="1" x14ac:dyDescent="0.3">
      <c r="F48" t="s">
        <v>30</v>
      </c>
      <c r="G48" t="s">
        <v>76</v>
      </c>
      <c r="H48" s="32">
        <v>43659</v>
      </c>
      <c r="I48" s="52" t="s">
        <v>233</v>
      </c>
      <c r="J48" t="s">
        <v>232</v>
      </c>
      <c r="K48" s="84">
        <v>102103</v>
      </c>
    </row>
    <row r="49" spans="6:11" hidden="1" x14ac:dyDescent="0.3">
      <c r="F49" t="s">
        <v>30</v>
      </c>
      <c r="G49" t="s">
        <v>76</v>
      </c>
      <c r="H49" s="32">
        <v>43660</v>
      </c>
      <c r="I49" s="52" t="s">
        <v>233</v>
      </c>
      <c r="J49" t="s">
        <v>229</v>
      </c>
      <c r="K49" s="84">
        <v>102530</v>
      </c>
    </row>
    <row r="50" spans="6:11" hidden="1" x14ac:dyDescent="0.3">
      <c r="F50" t="s">
        <v>30</v>
      </c>
      <c r="G50" t="s">
        <v>76</v>
      </c>
      <c r="H50" s="32">
        <v>43661</v>
      </c>
      <c r="I50" s="52" t="s">
        <v>170</v>
      </c>
      <c r="J50" t="s">
        <v>236</v>
      </c>
      <c r="K50" s="84">
        <v>102896</v>
      </c>
    </row>
    <row r="51" spans="6:11" hidden="1" x14ac:dyDescent="0.3">
      <c r="F51" t="s">
        <v>30</v>
      </c>
      <c r="G51" t="s">
        <v>76</v>
      </c>
      <c r="H51" s="32">
        <v>43662</v>
      </c>
      <c r="I51" s="52" t="s">
        <v>170</v>
      </c>
      <c r="J51" t="s">
        <v>237</v>
      </c>
      <c r="K51" s="84">
        <v>103271</v>
      </c>
    </row>
    <row r="52" spans="6:11" hidden="1" x14ac:dyDescent="0.3">
      <c r="F52" t="s">
        <v>30</v>
      </c>
      <c r="G52" t="s">
        <v>76</v>
      </c>
      <c r="H52" s="32">
        <v>43663</v>
      </c>
      <c r="I52" s="52" t="s">
        <v>171</v>
      </c>
      <c r="J52" t="s">
        <v>239</v>
      </c>
      <c r="K52" s="84">
        <v>103705</v>
      </c>
    </row>
    <row r="53" spans="6:11" hidden="1" x14ac:dyDescent="0.3">
      <c r="F53" t="s">
        <v>30</v>
      </c>
      <c r="G53" t="s">
        <v>76</v>
      </c>
      <c r="H53" s="32">
        <v>43664</v>
      </c>
      <c r="I53" s="52" t="s">
        <v>244</v>
      </c>
      <c r="J53" t="s">
        <v>243</v>
      </c>
      <c r="K53" s="84">
        <v>104050</v>
      </c>
    </row>
    <row r="54" spans="6:11" hidden="1" x14ac:dyDescent="0.3">
      <c r="F54" t="s">
        <v>30</v>
      </c>
      <c r="G54" t="s">
        <v>76</v>
      </c>
      <c r="H54" s="32">
        <v>43665</v>
      </c>
      <c r="I54" s="52" t="s">
        <v>244</v>
      </c>
      <c r="J54" t="s">
        <v>245</v>
      </c>
      <c r="K54" s="84">
        <v>104451</v>
      </c>
    </row>
    <row r="55" spans="6:11" hidden="1" x14ac:dyDescent="0.3">
      <c r="F55" t="s">
        <v>30</v>
      </c>
      <c r="G55" t="s">
        <v>75</v>
      </c>
      <c r="H55" s="32">
        <v>43666</v>
      </c>
      <c r="I55" s="52" t="s">
        <v>247</v>
      </c>
      <c r="J55" t="s">
        <v>246</v>
      </c>
      <c r="K55" s="84">
        <v>88284</v>
      </c>
    </row>
    <row r="56" spans="6:11" hidden="1" x14ac:dyDescent="0.3">
      <c r="F56" t="s">
        <v>30</v>
      </c>
      <c r="G56" t="s">
        <v>75</v>
      </c>
      <c r="H56" s="32">
        <v>43667</v>
      </c>
      <c r="I56" s="52" t="s">
        <v>130</v>
      </c>
      <c r="J56" t="s">
        <v>248</v>
      </c>
      <c r="K56" s="84">
        <v>61</v>
      </c>
    </row>
    <row r="57" spans="6:11" hidden="1" x14ac:dyDescent="0.3">
      <c r="F57" t="s">
        <v>30</v>
      </c>
      <c r="G57" t="s">
        <v>76</v>
      </c>
      <c r="H57" s="32">
        <v>43668</v>
      </c>
      <c r="I57" s="52" t="s">
        <v>211</v>
      </c>
      <c r="J57" t="s">
        <v>253</v>
      </c>
      <c r="K57" s="84">
        <v>100528</v>
      </c>
    </row>
    <row r="58" spans="6:11" hidden="1" x14ac:dyDescent="0.3">
      <c r="F58" t="s">
        <v>30</v>
      </c>
      <c r="G58" s="78" t="s">
        <v>76</v>
      </c>
      <c r="H58" s="75">
        <v>43669</v>
      </c>
      <c r="I58" s="52" t="s">
        <v>209</v>
      </c>
      <c r="J58" t="s">
        <v>249</v>
      </c>
      <c r="K58" s="84">
        <v>100904</v>
      </c>
    </row>
    <row r="59" spans="6:11" hidden="1" x14ac:dyDescent="0.3">
      <c r="F59" t="s">
        <v>30</v>
      </c>
      <c r="G59" s="78" t="s">
        <v>76</v>
      </c>
      <c r="H59" s="32">
        <v>43670</v>
      </c>
      <c r="I59" s="52" t="s">
        <v>218</v>
      </c>
      <c r="J59" t="s">
        <v>254</v>
      </c>
      <c r="K59" s="84">
        <v>101257</v>
      </c>
    </row>
    <row r="60" spans="6:11" hidden="1" x14ac:dyDescent="0.3">
      <c r="F60" t="s">
        <v>30</v>
      </c>
      <c r="G60" t="s">
        <v>76</v>
      </c>
      <c r="H60" s="32">
        <v>43671</v>
      </c>
      <c r="I60" s="52" t="s">
        <v>223</v>
      </c>
      <c r="J60" t="s">
        <v>258</v>
      </c>
      <c r="K60" s="84">
        <v>101660</v>
      </c>
    </row>
    <row r="61" spans="6:11" hidden="1" x14ac:dyDescent="0.3">
      <c r="F61" t="s">
        <v>30</v>
      </c>
      <c r="G61" t="s">
        <v>76</v>
      </c>
      <c r="H61" s="32">
        <v>43672</v>
      </c>
      <c r="I61" s="52" t="s">
        <v>228</v>
      </c>
      <c r="J61" t="s">
        <v>259</v>
      </c>
      <c r="K61" s="84">
        <v>102023</v>
      </c>
    </row>
    <row r="62" spans="6:11" hidden="1" x14ac:dyDescent="0.3">
      <c r="F62" t="s">
        <v>30</v>
      </c>
      <c r="G62" t="s">
        <v>76</v>
      </c>
      <c r="H62" s="32">
        <v>43673</v>
      </c>
      <c r="I62" s="52" t="s">
        <v>261</v>
      </c>
      <c r="J62" t="s">
        <v>260</v>
      </c>
      <c r="K62" s="84">
        <v>102399</v>
      </c>
    </row>
    <row r="63" spans="6:11" hidden="1" x14ac:dyDescent="0.3">
      <c r="F63" t="s">
        <v>30</v>
      </c>
      <c r="G63" t="s">
        <v>76</v>
      </c>
      <c r="H63" s="32">
        <v>43674</v>
      </c>
      <c r="I63" s="52" t="s">
        <v>263</v>
      </c>
      <c r="J63" t="s">
        <v>262</v>
      </c>
      <c r="K63" s="84">
        <v>103268</v>
      </c>
    </row>
    <row r="64" spans="6:11" hidden="1" x14ac:dyDescent="0.3">
      <c r="F64" t="s">
        <v>30</v>
      </c>
      <c r="G64" t="s">
        <v>76</v>
      </c>
      <c r="H64" s="32">
        <v>43675</v>
      </c>
      <c r="I64" s="52" t="s">
        <v>265</v>
      </c>
      <c r="J64" t="s">
        <v>264</v>
      </c>
      <c r="K64" s="84">
        <v>103585</v>
      </c>
    </row>
    <row r="65" spans="6:11" hidden="1" x14ac:dyDescent="0.3">
      <c r="F65" t="s">
        <v>30</v>
      </c>
      <c r="G65" t="s">
        <v>76</v>
      </c>
      <c r="H65" s="32">
        <v>43676</v>
      </c>
      <c r="I65" s="52" t="s">
        <v>270</v>
      </c>
      <c r="J65" t="s">
        <v>271</v>
      </c>
      <c r="K65" s="84">
        <v>103918</v>
      </c>
    </row>
    <row r="66" spans="6:11" hidden="1" x14ac:dyDescent="0.3">
      <c r="F66" t="s">
        <v>30</v>
      </c>
      <c r="G66" t="s">
        <v>76</v>
      </c>
      <c r="H66" s="32">
        <v>43677</v>
      </c>
      <c r="I66" s="52" t="s">
        <v>272</v>
      </c>
      <c r="J66" t="s">
        <v>273</v>
      </c>
      <c r="K66" s="84">
        <v>104296</v>
      </c>
    </row>
    <row r="67" spans="6:11" x14ac:dyDescent="0.3">
      <c r="F67" t="s">
        <v>30</v>
      </c>
      <c r="G67" t="s">
        <v>76</v>
      </c>
      <c r="H67" s="91">
        <v>43678</v>
      </c>
      <c r="I67" s="52" t="s">
        <v>233</v>
      </c>
      <c r="J67" t="s">
        <v>274</v>
      </c>
      <c r="K67" s="84">
        <v>104489</v>
      </c>
    </row>
    <row r="68" spans="6:11" hidden="1" x14ac:dyDescent="0.3">
      <c r="F68" t="s">
        <v>30</v>
      </c>
      <c r="G68" t="s">
        <v>75</v>
      </c>
      <c r="H68" s="32">
        <v>43679</v>
      </c>
      <c r="I68" s="52" t="s">
        <v>276</v>
      </c>
      <c r="J68" t="s">
        <v>275</v>
      </c>
      <c r="K68" s="84">
        <v>90729</v>
      </c>
    </row>
    <row r="69" spans="6:11" ht="29.25" hidden="1" customHeight="1" x14ac:dyDescent="0.3">
      <c r="F69" t="s">
        <v>30</v>
      </c>
      <c r="G69" t="s">
        <v>75</v>
      </c>
      <c r="H69" s="32">
        <v>43680</v>
      </c>
      <c r="I69" s="52" t="s">
        <v>130</v>
      </c>
      <c r="J69" t="s">
        <v>277</v>
      </c>
      <c r="K69" s="84">
        <v>61</v>
      </c>
    </row>
    <row r="70" spans="6:11" ht="27" hidden="1" customHeight="1" x14ac:dyDescent="0.3">
      <c r="F70" t="s">
        <v>30</v>
      </c>
      <c r="G70" t="s">
        <v>75</v>
      </c>
      <c r="H70" s="32">
        <v>43681</v>
      </c>
      <c r="I70" s="52" t="s">
        <v>130</v>
      </c>
      <c r="J70" t="s">
        <v>278</v>
      </c>
      <c r="K70" s="84">
        <v>61</v>
      </c>
    </row>
    <row r="71" spans="6:11" hidden="1" x14ac:dyDescent="0.3">
      <c r="F71" t="s">
        <v>30</v>
      </c>
      <c r="G71" t="s">
        <v>76</v>
      </c>
      <c r="H71" s="32">
        <v>43682</v>
      </c>
      <c r="I71" s="52" t="s">
        <v>287</v>
      </c>
      <c r="J71" t="s">
        <v>288</v>
      </c>
      <c r="K71" s="84">
        <v>105848</v>
      </c>
    </row>
    <row r="72" spans="6:11" hidden="1" x14ac:dyDescent="0.3">
      <c r="F72" t="s">
        <v>30</v>
      </c>
      <c r="G72" t="s">
        <v>76</v>
      </c>
      <c r="H72" s="32">
        <v>43683</v>
      </c>
      <c r="I72" s="52" t="s">
        <v>289</v>
      </c>
      <c r="J72" t="s">
        <v>290</v>
      </c>
      <c r="K72" s="84">
        <v>106293</v>
      </c>
    </row>
    <row r="73" spans="6:11" hidden="1" x14ac:dyDescent="0.3">
      <c r="F73" t="s">
        <v>30</v>
      </c>
      <c r="G73" t="s">
        <v>76</v>
      </c>
      <c r="H73" s="32">
        <v>43684</v>
      </c>
      <c r="I73" s="52" t="s">
        <v>295</v>
      </c>
      <c r="J73" t="s">
        <v>296</v>
      </c>
      <c r="K73" s="84">
        <v>106864</v>
      </c>
    </row>
    <row r="74" spans="6:11" hidden="1" x14ac:dyDescent="0.3">
      <c r="F74" t="s">
        <v>30</v>
      </c>
      <c r="G74" t="s">
        <v>76</v>
      </c>
      <c r="H74" s="32">
        <v>43685</v>
      </c>
      <c r="I74" s="52" t="s">
        <v>298</v>
      </c>
      <c r="J74" t="s">
        <v>297</v>
      </c>
      <c r="K74" s="84">
        <v>107079</v>
      </c>
    </row>
    <row r="75" spans="6:11" hidden="1" x14ac:dyDescent="0.3">
      <c r="F75" t="s">
        <v>30</v>
      </c>
      <c r="G75" t="s">
        <v>76</v>
      </c>
      <c r="H75" s="32">
        <v>43686</v>
      </c>
      <c r="I75" s="52" t="s">
        <v>298</v>
      </c>
      <c r="J75" t="s">
        <v>297</v>
      </c>
      <c r="K75" s="84">
        <v>107079</v>
      </c>
    </row>
    <row r="76" spans="6:11" hidden="1" x14ac:dyDescent="0.3">
      <c r="F76" t="s">
        <v>30</v>
      </c>
      <c r="G76" t="s">
        <v>76</v>
      </c>
      <c r="H76" s="32">
        <v>43687</v>
      </c>
      <c r="I76" s="52" t="s">
        <v>295</v>
      </c>
      <c r="J76" t="s">
        <v>299</v>
      </c>
      <c r="K76" s="84">
        <v>107350</v>
      </c>
    </row>
    <row r="77" spans="6:11" hidden="1" x14ac:dyDescent="0.3">
      <c r="F77" t="s">
        <v>30</v>
      </c>
      <c r="G77" t="s">
        <v>76</v>
      </c>
      <c r="H77" s="32">
        <v>43688</v>
      </c>
      <c r="I77" s="52" t="s">
        <v>301</v>
      </c>
      <c r="J77" t="s">
        <v>300</v>
      </c>
      <c r="K77" s="84">
        <v>107729</v>
      </c>
    </row>
    <row r="78" spans="6:11" hidden="1" x14ac:dyDescent="0.3">
      <c r="F78" t="s">
        <v>30</v>
      </c>
      <c r="G78" t="s">
        <v>75</v>
      </c>
      <c r="H78" s="32">
        <v>43689</v>
      </c>
      <c r="I78" s="52">
        <v>0</v>
      </c>
      <c r="J78" t="s">
        <v>302</v>
      </c>
      <c r="K78" s="84">
        <v>0</v>
      </c>
    </row>
    <row r="79" spans="6:11" hidden="1" x14ac:dyDescent="0.3">
      <c r="F79" t="s">
        <v>30</v>
      </c>
      <c r="G79" t="s">
        <v>75</v>
      </c>
      <c r="H79" s="32">
        <v>43690</v>
      </c>
      <c r="I79" s="52" t="s">
        <v>130</v>
      </c>
      <c r="J79" t="s">
        <v>303</v>
      </c>
      <c r="K79" s="84">
        <v>61</v>
      </c>
    </row>
    <row r="80" spans="6:11" hidden="1" x14ac:dyDescent="0.3">
      <c r="F80" t="s">
        <v>30</v>
      </c>
      <c r="G80" t="s">
        <v>76</v>
      </c>
      <c r="H80" s="32">
        <v>43691</v>
      </c>
      <c r="I80" s="52" t="s">
        <v>305</v>
      </c>
      <c r="J80" t="s">
        <v>304</v>
      </c>
      <c r="K80" s="84">
        <v>108247</v>
      </c>
    </row>
    <row r="81" spans="6:11" hidden="1" x14ac:dyDescent="0.3">
      <c r="F81" t="s">
        <v>30</v>
      </c>
      <c r="G81" t="s">
        <v>76</v>
      </c>
      <c r="H81" s="32">
        <v>43692</v>
      </c>
      <c r="I81" s="52" t="s">
        <v>307</v>
      </c>
      <c r="J81" t="s">
        <v>306</v>
      </c>
      <c r="K81" s="84">
        <v>108402</v>
      </c>
    </row>
    <row r="82" spans="6:11" hidden="1" x14ac:dyDescent="0.3">
      <c r="F82" t="s">
        <v>30</v>
      </c>
      <c r="G82" t="s">
        <v>75</v>
      </c>
      <c r="H82" s="32">
        <v>43693</v>
      </c>
      <c r="I82" s="52" t="s">
        <v>308</v>
      </c>
      <c r="J82" t="s">
        <v>309</v>
      </c>
      <c r="K82" s="84">
        <v>95652</v>
      </c>
    </row>
    <row r="83" spans="6:11" hidden="1" x14ac:dyDescent="0.3">
      <c r="F83" t="s">
        <v>30</v>
      </c>
      <c r="G83" t="s">
        <v>76</v>
      </c>
      <c r="H83" s="32">
        <v>43694</v>
      </c>
      <c r="I83" s="52" t="s">
        <v>319</v>
      </c>
      <c r="J83" t="s">
        <v>320</v>
      </c>
      <c r="K83" s="84">
        <v>108778</v>
      </c>
    </row>
    <row r="84" spans="6:11" hidden="1" x14ac:dyDescent="0.3">
      <c r="F84" t="s">
        <v>30</v>
      </c>
      <c r="G84" t="s">
        <v>76</v>
      </c>
      <c r="H84" s="32">
        <v>43695</v>
      </c>
      <c r="I84" s="52" t="s">
        <v>322</v>
      </c>
      <c r="J84" t="s">
        <v>321</v>
      </c>
      <c r="K84" s="84">
        <v>109013</v>
      </c>
    </row>
    <row r="85" spans="6:11" hidden="1" x14ac:dyDescent="0.3">
      <c r="F85" t="s">
        <v>30</v>
      </c>
      <c r="G85" t="s">
        <v>76</v>
      </c>
      <c r="H85" s="32">
        <v>43696</v>
      </c>
      <c r="I85" s="52" t="s">
        <v>323</v>
      </c>
      <c r="J85" t="s">
        <v>324</v>
      </c>
      <c r="K85" s="84">
        <v>109171</v>
      </c>
    </row>
    <row r="86" spans="6:11" hidden="1" x14ac:dyDescent="0.3">
      <c r="F86" t="s">
        <v>30</v>
      </c>
      <c r="G86" t="s">
        <v>76</v>
      </c>
      <c r="H86" s="32">
        <v>43697</v>
      </c>
      <c r="I86" s="52" t="s">
        <v>326</v>
      </c>
      <c r="J86" t="s">
        <v>325</v>
      </c>
      <c r="K86" s="84">
        <v>109328</v>
      </c>
    </row>
    <row r="87" spans="6:11" hidden="1" x14ac:dyDescent="0.3">
      <c r="F87" t="s">
        <v>30</v>
      </c>
      <c r="G87" t="s">
        <v>76</v>
      </c>
      <c r="H87" s="32">
        <v>43698</v>
      </c>
      <c r="I87" s="52" t="s">
        <v>328</v>
      </c>
      <c r="J87" t="s">
        <v>327</v>
      </c>
      <c r="K87" s="84">
        <v>109466</v>
      </c>
    </row>
    <row r="88" spans="6:11" hidden="1" x14ac:dyDescent="0.3">
      <c r="F88" t="s">
        <v>30</v>
      </c>
      <c r="G88" t="s">
        <v>76</v>
      </c>
      <c r="H88" s="32">
        <v>43699</v>
      </c>
      <c r="I88" s="52" t="s">
        <v>330</v>
      </c>
      <c r="J88" t="s">
        <v>329</v>
      </c>
      <c r="K88" s="84">
        <v>109618</v>
      </c>
    </row>
    <row r="89" spans="6:11" hidden="1" x14ac:dyDescent="0.3">
      <c r="F89" t="s">
        <v>30</v>
      </c>
      <c r="G89" t="s">
        <v>75</v>
      </c>
      <c r="H89" s="32">
        <v>43700</v>
      </c>
      <c r="I89" s="52" t="s">
        <v>332</v>
      </c>
      <c r="J89" t="s">
        <v>331</v>
      </c>
      <c r="K89" s="84">
        <v>94793</v>
      </c>
    </row>
    <row r="90" spans="6:11" hidden="1" x14ac:dyDescent="0.3">
      <c r="F90" t="s">
        <v>30</v>
      </c>
      <c r="G90" t="s">
        <v>76</v>
      </c>
      <c r="H90" s="32">
        <v>43701</v>
      </c>
      <c r="I90" s="52" t="s">
        <v>334</v>
      </c>
      <c r="J90" t="s">
        <v>333</v>
      </c>
      <c r="K90" s="84">
        <v>109914</v>
      </c>
    </row>
    <row r="91" spans="6:11" hidden="1" x14ac:dyDescent="0.3">
      <c r="F91" t="s">
        <v>30</v>
      </c>
      <c r="G91" t="s">
        <v>76</v>
      </c>
      <c r="H91" s="32">
        <v>43702</v>
      </c>
      <c r="I91" s="52" t="s">
        <v>336</v>
      </c>
      <c r="J91" t="s">
        <v>335</v>
      </c>
      <c r="K91" s="84">
        <v>110125</v>
      </c>
    </row>
    <row r="92" spans="6:11" hidden="1" x14ac:dyDescent="0.3">
      <c r="F92" t="s">
        <v>30</v>
      </c>
      <c r="G92" t="s">
        <v>76</v>
      </c>
      <c r="H92" s="32">
        <v>43703</v>
      </c>
      <c r="I92" s="52" t="s">
        <v>338</v>
      </c>
      <c r="J92" t="s">
        <v>337</v>
      </c>
      <c r="K92" s="84">
        <v>110270</v>
      </c>
    </row>
    <row r="93" spans="6:11" hidden="1" x14ac:dyDescent="0.3">
      <c r="F93" t="s">
        <v>30</v>
      </c>
      <c r="G93" t="s">
        <v>76</v>
      </c>
      <c r="H93" s="32">
        <v>43704</v>
      </c>
      <c r="I93" s="52" t="s">
        <v>340</v>
      </c>
      <c r="J93" t="s">
        <v>339</v>
      </c>
      <c r="K93" s="84">
        <v>110405</v>
      </c>
    </row>
    <row r="94" spans="6:11" hidden="1" x14ac:dyDescent="0.3">
      <c r="F94" t="s">
        <v>30</v>
      </c>
      <c r="G94" t="s">
        <v>75</v>
      </c>
      <c r="H94" s="91">
        <v>43705</v>
      </c>
      <c r="I94" s="52" t="s">
        <v>342</v>
      </c>
      <c r="J94" t="s">
        <v>341</v>
      </c>
      <c r="K94" s="84">
        <v>61</v>
      </c>
    </row>
    <row r="95" spans="6:11" hidden="1" x14ac:dyDescent="0.3">
      <c r="F95" t="s">
        <v>30</v>
      </c>
      <c r="G95" t="s">
        <v>75</v>
      </c>
      <c r="H95" s="91">
        <v>43706</v>
      </c>
      <c r="I95" s="52" t="s">
        <v>130</v>
      </c>
      <c r="J95" t="s">
        <v>343</v>
      </c>
      <c r="K95" s="84">
        <v>61</v>
      </c>
    </row>
    <row r="96" spans="6:11" hidden="1" x14ac:dyDescent="0.3">
      <c r="F96" t="s">
        <v>30</v>
      </c>
      <c r="G96" t="s">
        <v>76</v>
      </c>
      <c r="H96" s="91">
        <v>43707</v>
      </c>
      <c r="I96" s="39" t="s">
        <v>372</v>
      </c>
      <c r="J96" s="39" t="s">
        <v>371</v>
      </c>
      <c r="K96" s="89">
        <v>110852</v>
      </c>
    </row>
    <row r="97" spans="6:11" hidden="1" x14ac:dyDescent="0.3">
      <c r="F97" t="s">
        <v>30</v>
      </c>
      <c r="G97" t="s">
        <v>76</v>
      </c>
      <c r="H97" s="91">
        <v>43708</v>
      </c>
      <c r="I97" s="52" t="s">
        <v>381</v>
      </c>
      <c r="J97" t="s">
        <v>380</v>
      </c>
      <c r="K97" s="84">
        <v>111028</v>
      </c>
    </row>
    <row r="98" spans="6:11" x14ac:dyDescent="0.3">
      <c r="F98" t="s">
        <v>30</v>
      </c>
      <c r="G98" t="s">
        <v>76</v>
      </c>
      <c r="H98" s="91">
        <v>43709</v>
      </c>
      <c r="I98" s="52" t="s">
        <v>379</v>
      </c>
      <c r="J98" t="s">
        <v>378</v>
      </c>
      <c r="K98" s="84">
        <v>111303</v>
      </c>
    </row>
    <row r="99" spans="6:11" hidden="1" x14ac:dyDescent="0.3">
      <c r="F99" t="s">
        <v>30</v>
      </c>
      <c r="G99" t="s">
        <v>76</v>
      </c>
      <c r="H99" s="91">
        <v>43679</v>
      </c>
      <c r="I99" s="52" t="s">
        <v>383</v>
      </c>
      <c r="J99" t="s">
        <v>382</v>
      </c>
      <c r="K99" s="84">
        <v>111400</v>
      </c>
    </row>
    <row r="100" spans="6:11" hidden="1" x14ac:dyDescent="0.3">
      <c r="F100" t="s">
        <v>30</v>
      </c>
      <c r="G100" t="s">
        <v>76</v>
      </c>
      <c r="H100" s="91">
        <v>43711</v>
      </c>
      <c r="I100" s="39" t="s">
        <v>390</v>
      </c>
      <c r="J100" s="39" t="s">
        <v>389</v>
      </c>
      <c r="K100" s="89" t="s">
        <v>393</v>
      </c>
    </row>
    <row r="101" spans="6:11" hidden="1" x14ac:dyDescent="0.3">
      <c r="F101" t="s">
        <v>30</v>
      </c>
      <c r="G101" t="s">
        <v>76</v>
      </c>
      <c r="H101" s="91">
        <v>43713</v>
      </c>
      <c r="I101" s="39" t="s">
        <v>398</v>
      </c>
      <c r="J101" s="39" t="s">
        <v>397</v>
      </c>
      <c r="K101" s="89" t="s">
        <v>399</v>
      </c>
    </row>
    <row r="102" spans="6:11" hidden="1" x14ac:dyDescent="0.3">
      <c r="F102" t="s">
        <v>30</v>
      </c>
      <c r="G102" t="s">
        <v>76</v>
      </c>
      <c r="H102" s="91">
        <v>43715</v>
      </c>
      <c r="I102" s="39" t="s">
        <v>401</v>
      </c>
      <c r="J102" s="39" t="s">
        <v>400</v>
      </c>
      <c r="K102" s="89" t="s">
        <v>402</v>
      </c>
    </row>
    <row r="103" spans="6:11" hidden="1" x14ac:dyDescent="0.3">
      <c r="F103" t="s">
        <v>30</v>
      </c>
      <c r="G103" t="s">
        <v>76</v>
      </c>
      <c r="H103" s="91">
        <v>43716</v>
      </c>
      <c r="I103" s="52" t="s">
        <v>418</v>
      </c>
      <c r="J103" t="s">
        <v>417</v>
      </c>
      <c r="K103" s="84">
        <v>112593</v>
      </c>
    </row>
    <row r="104" spans="6:11" x14ac:dyDescent="0.3">
      <c r="F104" t="s">
        <v>30</v>
      </c>
      <c r="G104" t="s">
        <v>76</v>
      </c>
      <c r="H104" s="75">
        <v>43717</v>
      </c>
      <c r="I104" s="52" t="s">
        <v>420</v>
      </c>
      <c r="J104" t="s">
        <v>419</v>
      </c>
      <c r="K104" s="84">
        <v>112770</v>
      </c>
    </row>
    <row r="105" spans="6:11" x14ac:dyDescent="0.3">
      <c r="F105" t="s">
        <v>30</v>
      </c>
      <c r="G105" t="s">
        <v>76</v>
      </c>
      <c r="H105" s="75">
        <v>43718</v>
      </c>
      <c r="I105" s="52" t="s">
        <v>424</v>
      </c>
      <c r="J105" t="s">
        <v>423</v>
      </c>
      <c r="K105" s="84">
        <v>112958</v>
      </c>
    </row>
    <row r="106" spans="6:11" x14ac:dyDescent="0.3">
      <c r="F106" t="s">
        <v>30</v>
      </c>
      <c r="G106" t="s">
        <v>76</v>
      </c>
      <c r="H106" s="75">
        <v>43719</v>
      </c>
      <c r="I106" s="52" t="s">
        <v>422</v>
      </c>
      <c r="J106" t="s">
        <v>421</v>
      </c>
      <c r="K106" s="84">
        <v>113138</v>
      </c>
    </row>
    <row r="107" spans="6:11" x14ac:dyDescent="0.3">
      <c r="F107" t="s">
        <v>30</v>
      </c>
      <c r="G107" t="s">
        <v>76</v>
      </c>
      <c r="H107" s="75">
        <v>43720</v>
      </c>
      <c r="I107" s="52" t="s">
        <v>426</v>
      </c>
      <c r="J107" t="s">
        <v>425</v>
      </c>
      <c r="K107" s="84">
        <v>113350</v>
      </c>
    </row>
    <row r="108" spans="6:11" x14ac:dyDescent="0.3">
      <c r="F108" t="s">
        <v>30</v>
      </c>
      <c r="G108" t="s">
        <v>76</v>
      </c>
      <c r="H108" s="75">
        <v>43721</v>
      </c>
      <c r="I108" s="52" t="s">
        <v>428</v>
      </c>
      <c r="J108" t="s">
        <v>427</v>
      </c>
      <c r="K108" s="84">
        <v>113511</v>
      </c>
    </row>
    <row r="109" spans="6:11" x14ac:dyDescent="0.3">
      <c r="F109" t="s">
        <v>30</v>
      </c>
      <c r="G109" t="s">
        <v>75</v>
      </c>
      <c r="H109" s="75">
        <v>43722</v>
      </c>
      <c r="I109" s="52" t="s">
        <v>430</v>
      </c>
      <c r="J109" t="s">
        <v>429</v>
      </c>
      <c r="K109" s="84">
        <v>86326</v>
      </c>
    </row>
  </sheetData>
  <mergeCells count="1">
    <mergeCell ref="F1:K1"/>
  </mergeCells>
  <dataValidations count="2">
    <dataValidation type="list" allowBlank="1" showInputMessage="1" showErrorMessage="1" sqref="F4:F57 F59:F254" xr:uid="{5F6FD537-C5BA-493B-A1F8-A6F9CBFAE9AB}">
      <formula1>$B$3:$B$5</formula1>
    </dataValidation>
    <dataValidation type="list" allowBlank="1" showInputMessage="1" showErrorMessage="1" sqref="G4:G109" xr:uid="{013BCE1C-8305-4C7A-BECE-9E617DF998A1}">
      <formula1>$C$4:$C$5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4C960-F1E8-4D04-AE34-60D34E7E17FB}">
  <sheetPr codeName="Planilha10"/>
  <dimension ref="B1:X25"/>
  <sheetViews>
    <sheetView showGridLines="0" tabSelected="1" zoomScale="130" zoomScaleNormal="130" workbookViewId="0">
      <selection activeCell="G26" sqref="G26"/>
    </sheetView>
  </sheetViews>
  <sheetFormatPr defaultRowHeight="16.5" x14ac:dyDescent="0.3"/>
  <cols>
    <col min="1" max="1" width="2.5" customWidth="1"/>
    <col min="2" max="4" width="8.625" customWidth="1"/>
    <col min="5" max="5" width="2.25" customWidth="1"/>
    <col min="6" max="7" width="8.625" customWidth="1"/>
    <col min="8" max="8" width="10.875" customWidth="1"/>
    <col min="9" max="9" width="2.75" customWidth="1"/>
    <col min="10" max="12" width="8.625" customWidth="1"/>
    <col min="13" max="13" width="2.5" customWidth="1"/>
    <col min="14" max="15" width="8.625" customWidth="1"/>
    <col min="16" max="16" width="10.875" customWidth="1"/>
    <col min="17" max="17" width="2.5" customWidth="1"/>
    <col min="18" max="20" width="8.625" customWidth="1"/>
    <col min="21" max="21" width="2.25" customWidth="1"/>
    <col min="22" max="23" width="8.625" customWidth="1"/>
    <col min="24" max="24" width="10.875" customWidth="1"/>
  </cols>
  <sheetData>
    <row r="1" spans="2:24" ht="21" customHeight="1" thickBot="1" x14ac:dyDescent="0.35">
      <c r="B1" s="51" t="s">
        <v>83</v>
      </c>
      <c r="C1" s="79">
        <f ca="1">TODAY()</f>
        <v>44085</v>
      </c>
      <c r="D1" s="68"/>
      <c r="E1" s="68" t="s">
        <v>113</v>
      </c>
      <c r="G1" t="str">
        <f>IF(Arquivos!O21="Completa","Completa","Incompleta")</f>
        <v>Completa</v>
      </c>
      <c r="M1" s="68" t="s">
        <v>113</v>
      </c>
      <c r="O1" t="str">
        <f>IF(Protheus!M10="Completa","Completa","Incompleta")</f>
        <v>Incompleta</v>
      </c>
      <c r="U1" s="68" t="s">
        <v>113</v>
      </c>
      <c r="W1" t="str">
        <f>IF('Banco de Dados'!N10="Completa","Completa","Incompleta")</f>
        <v>Completa</v>
      </c>
      <c r="X1" s="70"/>
    </row>
    <row r="2" spans="2:24" x14ac:dyDescent="0.3">
      <c r="B2" s="132" t="s">
        <v>102</v>
      </c>
      <c r="C2" s="133"/>
      <c r="D2" s="133"/>
      <c r="E2" s="133"/>
      <c r="F2" s="133"/>
      <c r="G2" s="133"/>
      <c r="H2" s="134"/>
      <c r="J2" s="132" t="s">
        <v>101</v>
      </c>
      <c r="K2" s="133"/>
      <c r="L2" s="133"/>
      <c r="M2" s="133"/>
      <c r="N2" s="133"/>
      <c r="O2" s="133"/>
      <c r="P2" s="134"/>
      <c r="R2" s="132" t="s">
        <v>103</v>
      </c>
      <c r="S2" s="133"/>
      <c r="T2" s="133"/>
      <c r="U2" s="133"/>
      <c r="V2" s="133"/>
      <c r="W2" s="133"/>
      <c r="X2" s="138"/>
    </row>
    <row r="3" spans="2:24" ht="17.25" thickBot="1" x14ac:dyDescent="0.35">
      <c r="B3" s="135"/>
      <c r="C3" s="136"/>
      <c r="D3" s="136"/>
      <c r="E3" s="136"/>
      <c r="F3" s="136"/>
      <c r="G3" s="136"/>
      <c r="H3" s="137"/>
      <c r="J3" s="135"/>
      <c r="K3" s="136"/>
      <c r="L3" s="136"/>
      <c r="M3" s="136"/>
      <c r="N3" s="136"/>
      <c r="O3" s="136"/>
      <c r="P3" s="137"/>
      <c r="R3" s="135"/>
      <c r="S3" s="136"/>
      <c r="T3" s="136"/>
      <c r="U3" s="136"/>
      <c r="V3" s="136"/>
      <c r="W3" s="136"/>
      <c r="X3" s="137"/>
    </row>
    <row r="4" spans="2:24" ht="14.25" customHeight="1" x14ac:dyDescent="0.3">
      <c r="S4" s="67"/>
    </row>
    <row r="5" spans="2:24" ht="15.75" customHeight="1" x14ac:dyDescent="0.3">
      <c r="B5" s="120" t="s">
        <v>104</v>
      </c>
      <c r="C5" s="120"/>
      <c r="D5" s="120"/>
      <c r="E5" s="43"/>
      <c r="F5" s="120" t="s">
        <v>78</v>
      </c>
      <c r="G5" s="120"/>
      <c r="H5" s="120"/>
      <c r="J5" s="120" t="s">
        <v>104</v>
      </c>
      <c r="K5" s="120"/>
      <c r="L5" s="120"/>
      <c r="M5" s="43"/>
      <c r="N5" s="120" t="s">
        <v>78</v>
      </c>
      <c r="O5" s="120"/>
      <c r="P5" s="120"/>
      <c r="R5" s="120" t="s">
        <v>104</v>
      </c>
      <c r="S5" s="120"/>
      <c r="T5" s="120"/>
      <c r="U5" s="43"/>
      <c r="V5" s="120" t="s">
        <v>78</v>
      </c>
      <c r="W5" s="120"/>
      <c r="X5" s="120"/>
    </row>
    <row r="6" spans="2:24" ht="6" customHeight="1" thickBot="1" x14ac:dyDescent="0.35"/>
    <row r="7" spans="2:24" x14ac:dyDescent="0.3">
      <c r="B7" s="102" t="str">
        <f>Arquivos!Q21</f>
        <v>71,5 GB</v>
      </c>
      <c r="C7" s="103"/>
      <c r="D7" s="104"/>
      <c r="F7" s="102">
        <f>Arquivos!S21</f>
        <v>41700</v>
      </c>
      <c r="G7" s="103"/>
      <c r="H7" s="104"/>
      <c r="J7" s="102" t="str">
        <f>Protheus!O10</f>
        <v>8,6 GB</v>
      </c>
      <c r="K7" s="103"/>
      <c r="L7" s="104"/>
      <c r="N7" s="102">
        <f>Protheus!Q10</f>
        <v>86326</v>
      </c>
      <c r="O7" s="103"/>
      <c r="P7" s="104"/>
      <c r="R7" s="102" t="str">
        <f>'Banco de Dados'!P10</f>
        <v>23,8 GB</v>
      </c>
      <c r="S7" s="103"/>
      <c r="T7" s="104"/>
      <c r="V7" s="102">
        <f>'Banco de Dados'!R10</f>
        <v>96325</v>
      </c>
      <c r="W7" s="103"/>
      <c r="X7" s="104"/>
    </row>
    <row r="8" spans="2:24" x14ac:dyDescent="0.3">
      <c r="B8" s="105"/>
      <c r="C8" s="106"/>
      <c r="D8" s="107"/>
      <c r="E8" s="65"/>
      <c r="F8" s="105"/>
      <c r="G8" s="106"/>
      <c r="H8" s="107"/>
      <c r="J8" s="105"/>
      <c r="K8" s="106"/>
      <c r="L8" s="107"/>
      <c r="N8" s="105"/>
      <c r="O8" s="106"/>
      <c r="P8" s="107"/>
      <c r="R8" s="105"/>
      <c r="S8" s="106"/>
      <c r="T8" s="107"/>
      <c r="V8" s="105"/>
      <c r="W8" s="106"/>
      <c r="X8" s="107"/>
    </row>
    <row r="9" spans="2:24" ht="19.5" customHeight="1" x14ac:dyDescent="0.3">
      <c r="B9" s="105"/>
      <c r="C9" s="106"/>
      <c r="D9" s="107"/>
      <c r="F9" s="105"/>
      <c r="G9" s="106"/>
      <c r="H9" s="107"/>
      <c r="J9" s="105"/>
      <c r="K9" s="106"/>
      <c r="L9" s="107"/>
      <c r="N9" s="105"/>
      <c r="O9" s="106"/>
      <c r="P9" s="107"/>
      <c r="R9" s="105"/>
      <c r="S9" s="106"/>
      <c r="T9" s="107"/>
      <c r="V9" s="105"/>
      <c r="W9" s="106"/>
      <c r="X9" s="107"/>
    </row>
    <row r="10" spans="2:24" ht="17.25" thickBot="1" x14ac:dyDescent="0.35">
      <c r="B10" s="108"/>
      <c r="C10" s="109"/>
      <c r="D10" s="110"/>
      <c r="F10" s="108"/>
      <c r="G10" s="109"/>
      <c r="H10" s="110"/>
      <c r="J10" s="108"/>
      <c r="K10" s="109"/>
      <c r="L10" s="110"/>
      <c r="N10" s="108"/>
      <c r="O10" s="109"/>
      <c r="P10" s="110"/>
      <c r="R10" s="108"/>
      <c r="S10" s="109"/>
      <c r="T10" s="110"/>
      <c r="V10" s="108"/>
      <c r="W10" s="109"/>
      <c r="X10" s="110"/>
    </row>
    <row r="11" spans="2:24" ht="9.75" customHeight="1" x14ac:dyDescent="0.3">
      <c r="B11" s="65"/>
      <c r="C11" s="65"/>
      <c r="D11" s="65"/>
      <c r="F11" s="65"/>
      <c r="G11" s="65"/>
      <c r="H11" s="65"/>
      <c r="J11" s="65"/>
      <c r="K11" s="65"/>
      <c r="L11" s="65"/>
      <c r="N11" s="65"/>
      <c r="O11" s="65"/>
      <c r="P11" s="65"/>
      <c r="R11" s="65"/>
      <c r="S11" s="65"/>
      <c r="T11" s="65"/>
      <c r="V11" s="65"/>
      <c r="W11" s="65"/>
      <c r="X11" s="65"/>
    </row>
    <row r="12" spans="2:24" x14ac:dyDescent="0.3">
      <c r="B12" s="120" t="s">
        <v>105</v>
      </c>
      <c r="C12" s="120"/>
      <c r="D12" s="120"/>
      <c r="F12" s="120" t="s">
        <v>107</v>
      </c>
      <c r="G12" s="120"/>
      <c r="H12" s="120"/>
      <c r="J12" s="120" t="s">
        <v>105</v>
      </c>
      <c r="K12" s="120"/>
      <c r="L12" s="120"/>
      <c r="N12" s="120" t="s">
        <v>107</v>
      </c>
      <c r="O12" s="120"/>
      <c r="P12" s="120"/>
      <c r="R12" s="120" t="s">
        <v>105</v>
      </c>
      <c r="S12" s="120"/>
      <c r="T12" s="120"/>
      <c r="V12" s="120" t="s">
        <v>107</v>
      </c>
      <c r="W12" s="120"/>
      <c r="X12" s="120"/>
    </row>
    <row r="13" spans="2:24" ht="13.5" customHeight="1" thickBot="1" x14ac:dyDescent="0.35">
      <c r="B13" s="65"/>
      <c r="C13" s="65"/>
      <c r="D13" s="65"/>
      <c r="J13" s="65"/>
      <c r="K13" s="65"/>
      <c r="L13" s="65"/>
      <c r="R13" s="65"/>
      <c r="S13" s="65"/>
      <c r="T13" s="65"/>
    </row>
    <row r="14" spans="2:24" x14ac:dyDescent="0.3">
      <c r="B14" s="111" t="str">
        <f>Arquivos!R21</f>
        <v xml:space="preserve">2 Horas, 9 Minutos, 45 Segundos </v>
      </c>
      <c r="C14" s="112"/>
      <c r="D14" s="113"/>
      <c r="F14" s="93"/>
      <c r="G14" s="94"/>
      <c r="H14" s="95"/>
      <c r="J14" s="111" t="str">
        <f>Protheus!P10</f>
        <v xml:space="preserve">0 Horas, 20 Minutos, 34 Segundos </v>
      </c>
      <c r="K14" s="112"/>
      <c r="L14" s="113"/>
      <c r="N14" s="93"/>
      <c r="O14" s="94"/>
      <c r="P14" s="95"/>
      <c r="R14" s="122" t="str">
        <f>'Banco de Dados'!Q10</f>
        <v xml:space="preserve">0 Horas, 53 Minutos, 32 Segundos </v>
      </c>
      <c r="S14" s="112"/>
      <c r="T14" s="113"/>
      <c r="V14" s="74"/>
      <c r="W14" s="74"/>
      <c r="X14" s="74"/>
    </row>
    <row r="15" spans="2:24" x14ac:dyDescent="0.3">
      <c r="B15" s="114"/>
      <c r="C15" s="115"/>
      <c r="D15" s="116"/>
      <c r="F15" s="96"/>
      <c r="G15" s="97"/>
      <c r="H15" s="98"/>
      <c r="J15" s="114"/>
      <c r="K15" s="115"/>
      <c r="L15" s="116"/>
      <c r="N15" s="96"/>
      <c r="O15" s="97"/>
      <c r="P15" s="98"/>
      <c r="R15" s="114"/>
      <c r="S15" s="115"/>
      <c r="T15" s="116"/>
      <c r="V15" s="74"/>
      <c r="W15" s="74"/>
      <c r="X15" s="74"/>
    </row>
    <row r="16" spans="2:24" x14ac:dyDescent="0.3">
      <c r="B16" s="114"/>
      <c r="C16" s="115"/>
      <c r="D16" s="116"/>
      <c r="F16" s="96"/>
      <c r="G16" s="97"/>
      <c r="H16" s="98"/>
      <c r="J16" s="114"/>
      <c r="K16" s="115"/>
      <c r="L16" s="116"/>
      <c r="N16" s="96"/>
      <c r="O16" s="97"/>
      <c r="P16" s="98"/>
      <c r="R16" s="114"/>
      <c r="S16" s="115"/>
      <c r="T16" s="116"/>
      <c r="V16" s="74"/>
      <c r="W16" s="74"/>
      <c r="X16" s="74"/>
    </row>
    <row r="17" spans="2:24" ht="17.25" thickBot="1" x14ac:dyDescent="0.35">
      <c r="B17" s="117"/>
      <c r="C17" s="118"/>
      <c r="D17" s="119"/>
      <c r="F17" s="96"/>
      <c r="G17" s="97"/>
      <c r="H17" s="98"/>
      <c r="J17" s="117"/>
      <c r="K17" s="118"/>
      <c r="L17" s="119"/>
      <c r="N17" s="96"/>
      <c r="O17" s="97"/>
      <c r="P17" s="98"/>
      <c r="R17" s="117"/>
      <c r="S17" s="118"/>
      <c r="T17" s="119"/>
      <c r="V17" s="74"/>
      <c r="W17" s="74"/>
      <c r="X17" s="74"/>
    </row>
    <row r="18" spans="2:24" ht="9.75" customHeight="1" x14ac:dyDescent="0.3">
      <c r="B18" s="65"/>
      <c r="C18" s="65"/>
      <c r="D18" s="65"/>
      <c r="F18" s="96"/>
      <c r="G18" s="97"/>
      <c r="H18" s="98"/>
      <c r="J18" s="65"/>
      <c r="K18" s="65"/>
      <c r="L18" s="65"/>
      <c r="N18" s="96"/>
      <c r="O18" s="97"/>
      <c r="P18" s="98"/>
      <c r="R18" s="65"/>
      <c r="S18" s="65"/>
      <c r="T18" s="65"/>
      <c r="V18" s="74"/>
      <c r="W18" s="74"/>
      <c r="X18" s="74"/>
    </row>
    <row r="19" spans="2:24" x14ac:dyDescent="0.3">
      <c r="B19" s="120" t="s">
        <v>106</v>
      </c>
      <c r="C19" s="120"/>
      <c r="D19" s="120"/>
      <c r="F19" s="96"/>
      <c r="G19" s="97"/>
      <c r="H19" s="98"/>
      <c r="J19" s="120" t="s">
        <v>106</v>
      </c>
      <c r="K19" s="120"/>
      <c r="L19" s="120"/>
      <c r="N19" s="96"/>
      <c r="O19" s="97"/>
      <c r="P19" s="98"/>
      <c r="R19" s="120" t="s">
        <v>106</v>
      </c>
      <c r="S19" s="120"/>
      <c r="T19" s="120"/>
      <c r="V19" s="121" t="s">
        <v>119</v>
      </c>
      <c r="W19" s="121"/>
      <c r="X19" s="121"/>
    </row>
    <row r="20" spans="2:24" ht="13.5" customHeight="1" thickBot="1" x14ac:dyDescent="0.35">
      <c r="B20" s="65"/>
      <c r="C20" s="65"/>
      <c r="D20" s="65"/>
      <c r="F20" s="96"/>
      <c r="G20" s="97"/>
      <c r="H20" s="98"/>
      <c r="J20" s="65"/>
      <c r="K20" s="65"/>
      <c r="L20" s="65"/>
      <c r="N20" s="96"/>
      <c r="O20" s="97"/>
      <c r="P20" s="98"/>
      <c r="R20" s="65"/>
      <c r="S20" s="65"/>
      <c r="T20" s="65"/>
      <c r="V20" s="74"/>
      <c r="W20" s="74"/>
      <c r="X20" s="74"/>
    </row>
    <row r="21" spans="2:24" x14ac:dyDescent="0.3">
      <c r="B21" s="102">
        <f>Arquivos!N4</f>
        <v>69</v>
      </c>
      <c r="C21" s="103"/>
      <c r="D21" s="104"/>
      <c r="F21" s="96"/>
      <c r="G21" s="97"/>
      <c r="H21" s="98"/>
      <c r="J21" s="102">
        <f>Protheus!M4</f>
        <v>180</v>
      </c>
      <c r="K21" s="103"/>
      <c r="L21" s="104"/>
      <c r="N21" s="96"/>
      <c r="O21" s="97"/>
      <c r="P21" s="98"/>
      <c r="R21" s="102">
        <f>'Banco de Dados'!S10</f>
        <v>96320</v>
      </c>
      <c r="S21" s="103"/>
      <c r="T21" s="104"/>
      <c r="V21" s="123" t="s">
        <v>431</v>
      </c>
      <c r="W21" s="124"/>
      <c r="X21" s="125"/>
    </row>
    <row r="22" spans="2:24" x14ac:dyDescent="0.3">
      <c r="B22" s="105"/>
      <c r="C22" s="106"/>
      <c r="D22" s="107"/>
      <c r="F22" s="96"/>
      <c r="G22" s="97"/>
      <c r="H22" s="98"/>
      <c r="J22" s="105"/>
      <c r="K22" s="106"/>
      <c r="L22" s="107"/>
      <c r="N22" s="96"/>
      <c r="O22" s="97"/>
      <c r="P22" s="98"/>
      <c r="R22" s="105"/>
      <c r="S22" s="106"/>
      <c r="T22" s="107"/>
      <c r="V22" s="126"/>
      <c r="W22" s="127"/>
      <c r="X22" s="128"/>
    </row>
    <row r="23" spans="2:24" x14ac:dyDescent="0.3">
      <c r="B23" s="105"/>
      <c r="C23" s="106"/>
      <c r="D23" s="107"/>
      <c r="F23" s="96"/>
      <c r="G23" s="97"/>
      <c r="H23" s="98"/>
      <c r="J23" s="105"/>
      <c r="K23" s="106"/>
      <c r="L23" s="107"/>
      <c r="N23" s="96"/>
      <c r="O23" s="97"/>
      <c r="P23" s="98"/>
      <c r="R23" s="105"/>
      <c r="S23" s="106"/>
      <c r="T23" s="107"/>
      <c r="V23" s="126"/>
      <c r="W23" s="127"/>
      <c r="X23" s="128"/>
    </row>
    <row r="24" spans="2:24" ht="17.25" thickBot="1" x14ac:dyDescent="0.35">
      <c r="B24" s="108"/>
      <c r="C24" s="109"/>
      <c r="D24" s="110"/>
      <c r="F24" s="99"/>
      <c r="G24" s="100"/>
      <c r="H24" s="101"/>
      <c r="J24" s="108"/>
      <c r="K24" s="109"/>
      <c r="L24" s="110"/>
      <c r="N24" s="99"/>
      <c r="O24" s="100"/>
      <c r="P24" s="101"/>
      <c r="R24" s="108"/>
      <c r="S24" s="109"/>
      <c r="T24" s="110"/>
      <c r="V24" s="129"/>
      <c r="W24" s="130"/>
      <c r="X24" s="131"/>
    </row>
    <row r="25" spans="2:24" ht="16.5" customHeight="1" x14ac:dyDescent="0.3">
      <c r="F25" s="65"/>
      <c r="G25" s="65"/>
      <c r="H25" s="65"/>
    </row>
  </sheetData>
  <mergeCells count="34">
    <mergeCell ref="V21:X24"/>
    <mergeCell ref="V7:X10"/>
    <mergeCell ref="R21:T24"/>
    <mergeCell ref="B2:H3"/>
    <mergeCell ref="J2:P3"/>
    <mergeCell ref="R2:X3"/>
    <mergeCell ref="B5:D5"/>
    <mergeCell ref="F5:H5"/>
    <mergeCell ref="J5:L5"/>
    <mergeCell ref="N5:P5"/>
    <mergeCell ref="R5:T5"/>
    <mergeCell ref="V5:X5"/>
    <mergeCell ref="B12:D12"/>
    <mergeCell ref="B19:D19"/>
    <mergeCell ref="F12:H12"/>
    <mergeCell ref="R19:T19"/>
    <mergeCell ref="V12:X12"/>
    <mergeCell ref="R12:T12"/>
    <mergeCell ref="J19:L19"/>
    <mergeCell ref="N12:P12"/>
    <mergeCell ref="J12:L12"/>
    <mergeCell ref="V19:X19"/>
    <mergeCell ref="R14:T17"/>
    <mergeCell ref="R7:T10"/>
    <mergeCell ref="J21:L24"/>
    <mergeCell ref="J14:L17"/>
    <mergeCell ref="J7:L10"/>
    <mergeCell ref="N14:P24"/>
    <mergeCell ref="N7:P10"/>
    <mergeCell ref="F14:H24"/>
    <mergeCell ref="B21:D24"/>
    <mergeCell ref="B14:D17"/>
    <mergeCell ref="F7:H10"/>
    <mergeCell ref="B7:D10"/>
  </mergeCells>
  <conditionalFormatting sqref="V19:X19">
    <cfRule type="expression" dxfId="39" priority="1">
      <formula>$V$21&gt;=500</formula>
    </cfRule>
    <cfRule type="expression" dxfId="38" priority="2">
      <formula>$V$21&lt;=500</formula>
    </cfRule>
  </conditionalFormatting>
  <pageMargins left="0.511811024" right="0.511811024" top="0.78740157499999996" bottom="0.78740157499999996" header="0.31496062000000002" footer="0.31496062000000002"/>
  <pageSetup paperSize="9" scale="45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5AC058CE-B8AB-42A5-A67B-3FDE71EE0C23}">
            <xm:f>Arquivos!$O$21="Completa"</xm:f>
            <x14:dxf>
              <font>
                <color rgb="FF00B050"/>
              </font>
            </x14:dxf>
          </x14:cfRule>
          <x14:cfRule type="expression" priority="10" id="{03CF1B47-A1A6-4FCB-85CA-B8AE2128E84A}">
            <xm:f>Arquivos!$O$21="Incompleta"</xm:f>
            <x14:dxf>
              <font>
                <color rgb="FFFF0000"/>
              </font>
            </x14:dxf>
          </x14:cfRule>
          <xm:sqref>D1</xm:sqref>
        </x14:conditionalFormatting>
        <x14:conditionalFormatting xmlns:xm="http://schemas.microsoft.com/office/excel/2006/main">
          <x14:cfRule type="expression" priority="7" id="{E7DD2108-D5FB-49BB-985C-88356AF452BD}">
            <xm:f>Arquivos!$O$21="Completa"</xm:f>
            <x14:dxf>
              <font>
                <color rgb="FF00B050"/>
              </font>
            </x14:dxf>
          </x14:cfRule>
          <x14:cfRule type="expression" priority="8" id="{90CA6DBA-32B2-426A-93E1-C5E0269BC30E}">
            <xm:f>Arquivos!$O$21="Incompleta"</xm:f>
            <x14:dxf>
              <font>
                <color rgb="FFFF0000"/>
              </font>
            </x14:dxf>
          </x14:cfRule>
          <xm:sqref>E1</xm:sqref>
        </x14:conditionalFormatting>
        <x14:conditionalFormatting xmlns:xm="http://schemas.microsoft.com/office/excel/2006/main">
          <x14:cfRule type="expression" priority="5" id="{BABE2765-B1B1-4DA0-8DAF-0E15C17450DD}">
            <xm:f>Protheus!$M$10="Completa"</xm:f>
            <x14:dxf>
              <font>
                <color rgb="FF00B050"/>
              </font>
            </x14:dxf>
          </x14:cfRule>
          <x14:cfRule type="expression" priority="6" id="{0D27CB5A-9038-436B-B55E-DF43BE9885D9}">
            <xm:f>Protheus!$M$10="Incompleta"</xm:f>
            <x14:dxf>
              <font>
                <color rgb="FFFF0000"/>
              </font>
            </x14:dxf>
          </x14:cfRule>
          <xm:sqref>M1</xm:sqref>
        </x14:conditionalFormatting>
        <x14:conditionalFormatting xmlns:xm="http://schemas.microsoft.com/office/excel/2006/main">
          <x14:cfRule type="expression" priority="3" id="{7461DA91-F440-47C4-B5F7-79C4B16DB78F}">
            <xm:f>'Banco de Dados'!$N$10="Completa"</xm:f>
            <x14:dxf>
              <font>
                <color rgb="FF00B050"/>
              </font>
            </x14:dxf>
          </x14:cfRule>
          <x14:cfRule type="expression" priority="4" id="{1FE877C6-E5A8-4EC1-9A91-CCCDEAA39878}">
            <xm:f>'Banco de Dados'!$N$10="Incompleta"</xm:f>
            <x14:dxf>
              <font>
                <color rgb="FFFF0000"/>
              </font>
            </x14:dxf>
          </x14:cfRule>
          <xm:sqref>U1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1605-A5A1-45AB-AF7B-AA2D19D068FC}">
  <sheetPr codeName="Planilha7"/>
  <dimension ref="B1:S19"/>
  <sheetViews>
    <sheetView topLeftCell="E1" workbookViewId="0">
      <selection activeCell="K28" sqref="K28"/>
    </sheetView>
  </sheetViews>
  <sheetFormatPr defaultRowHeight="16.5" x14ac:dyDescent="0.3"/>
  <cols>
    <col min="6" max="6" width="14.75" customWidth="1"/>
    <col min="7" max="7" width="10.875" customWidth="1"/>
    <col min="8" max="8" width="10.625" customWidth="1"/>
    <col min="9" max="9" width="9" style="51"/>
    <col min="10" max="10" width="30.25" customWidth="1"/>
    <col min="11" max="11" width="21.75" customWidth="1"/>
    <col min="12" max="12" width="12.75" customWidth="1"/>
    <col min="13" max="13" width="21" customWidth="1"/>
    <col min="14" max="14" width="10.875" customWidth="1"/>
    <col min="15" max="15" width="10.625" style="32" customWidth="1"/>
    <col min="16" max="16" width="10.625" customWidth="1"/>
    <col min="17" max="17" width="30.25" customWidth="1"/>
    <col min="18" max="18" width="19.5" customWidth="1"/>
  </cols>
  <sheetData>
    <row r="1" spans="2:19" ht="22.5" x14ac:dyDescent="0.3">
      <c r="F1" s="92" t="s">
        <v>85</v>
      </c>
      <c r="G1" s="92"/>
      <c r="H1" s="92"/>
      <c r="I1" s="92"/>
      <c r="J1" s="92"/>
      <c r="K1" s="92"/>
      <c r="O1"/>
    </row>
    <row r="2" spans="2:19" x14ac:dyDescent="0.3">
      <c r="I2"/>
      <c r="O2"/>
    </row>
    <row r="3" spans="2:19" x14ac:dyDescent="0.3">
      <c r="B3" t="s">
        <v>30</v>
      </c>
      <c r="F3" s="45" t="s">
        <v>35</v>
      </c>
      <c r="G3" s="45" t="s">
        <v>36</v>
      </c>
      <c r="H3" s="45" t="s">
        <v>37</v>
      </c>
      <c r="I3" s="45" t="s">
        <v>38</v>
      </c>
      <c r="J3" s="45" t="s">
        <v>58</v>
      </c>
      <c r="K3" s="45" t="s">
        <v>78</v>
      </c>
      <c r="L3" s="53"/>
      <c r="N3" s="53"/>
      <c r="O3" s="53"/>
      <c r="P3" s="53"/>
    </row>
    <row r="4" spans="2:19" x14ac:dyDescent="0.3">
      <c r="B4" s="47" t="s">
        <v>70</v>
      </c>
      <c r="C4" t="s">
        <v>76</v>
      </c>
      <c r="F4" t="s">
        <v>70</v>
      </c>
      <c r="G4" t="s">
        <v>76</v>
      </c>
      <c r="H4" s="32">
        <v>43583</v>
      </c>
      <c r="I4" s="52" t="s">
        <v>99</v>
      </c>
      <c r="J4" t="s">
        <v>89</v>
      </c>
      <c r="K4">
        <v>5</v>
      </c>
      <c r="O4"/>
    </row>
    <row r="5" spans="2:19" x14ac:dyDescent="0.3">
      <c r="F5" t="s">
        <v>70</v>
      </c>
      <c r="G5" t="s">
        <v>76</v>
      </c>
      <c r="H5" s="32">
        <v>43591</v>
      </c>
      <c r="I5" s="52" t="s">
        <v>114</v>
      </c>
      <c r="J5" t="s">
        <v>168</v>
      </c>
      <c r="K5">
        <v>96325</v>
      </c>
    </row>
    <row r="9" spans="2:19" x14ac:dyDescent="0.3">
      <c r="M9" s="48" t="s">
        <v>35</v>
      </c>
      <c r="N9" s="49" t="s">
        <v>36</v>
      </c>
      <c r="O9" s="49" t="s">
        <v>37</v>
      </c>
      <c r="P9" s="49" t="s">
        <v>38</v>
      </c>
      <c r="Q9" s="49" t="s">
        <v>58</v>
      </c>
      <c r="R9" s="50" t="s">
        <v>78</v>
      </c>
      <c r="S9" s="56" t="s">
        <v>94</v>
      </c>
    </row>
    <row r="10" spans="2:19" x14ac:dyDescent="0.3">
      <c r="M10" t="str">
        <f>INDEX(Tabela1[TAREFA],COUNT(Tabela1[Número de Arquivos]))</f>
        <v>Banco de dados</v>
      </c>
      <c r="N10" t="str">
        <f>INDEX(Tabela1[TIPO],COUNT(Tabela1[Número de Arquivos]))</f>
        <v>Completa</v>
      </c>
      <c r="O10" s="32">
        <f>INDEX(Tabela1[DATA],COUNT(Tabela1[DATA]))</f>
        <v>43591</v>
      </c>
      <c r="P10" t="str">
        <f>INDEX(Tabela1[GB],COUNT(Tabela1[Número de Arquivos]))</f>
        <v>23,8 GB</v>
      </c>
      <c r="Q10" t="str">
        <f>INDEX(Tabela1[Tempo],COUNT(Tabela1[Número de Arquivos]))</f>
        <v xml:space="preserve">0 Horas, 53 Minutos, 32 Segundos </v>
      </c>
      <c r="R10">
        <f>INDEX(Tabela1[Número de Arquivos],COUNT(Tabela1[Número de Arquivos]))</f>
        <v>96325</v>
      </c>
      <c r="S10" s="39">
        <f>INDEX(Tabela1[Número de Arquivos],COUNT(Tabela1[Número de Arquivos]))-INDEX(Tabela1[Número de Arquivos],COUNT(Tabela1[Número de Arquivos])-1)</f>
        <v>96320</v>
      </c>
    </row>
    <row r="14" spans="2:19" x14ac:dyDescent="0.3">
      <c r="Q14" s="32"/>
    </row>
    <row r="16" spans="2:19" x14ac:dyDescent="0.3">
      <c r="K16" s="32"/>
    </row>
    <row r="19" spans="13:18" x14ac:dyDescent="0.3">
      <c r="M19" s="32"/>
      <c r="N19" s="32"/>
      <c r="P19" s="39"/>
      <c r="Q19" s="39"/>
      <c r="R19" s="39"/>
    </row>
  </sheetData>
  <mergeCells count="1">
    <mergeCell ref="F1:K1"/>
  </mergeCells>
  <dataValidations count="2">
    <dataValidation type="list" allowBlank="1" showInputMessage="1" showErrorMessage="1" sqref="F4:F275" xr:uid="{4D180132-82DA-495A-818F-85877AC36D4E}">
      <formula1>$B$3:$B$4</formula1>
    </dataValidation>
    <dataValidation type="list" allowBlank="1" showInputMessage="1" showErrorMessage="1" sqref="G4:G5" xr:uid="{F625D60D-D030-4A98-B5D7-02CC06A47F35}">
      <formula1>$C$4:$C$4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C2A42-D90F-4221-9D70-86A1948BE85E}">
  <sheetPr codeName="Planilha8"/>
  <dimension ref="A1:AA64"/>
  <sheetViews>
    <sheetView zoomScale="160" zoomScaleNormal="160" workbookViewId="0">
      <selection activeCell="H21" sqref="H21"/>
    </sheetView>
  </sheetViews>
  <sheetFormatPr defaultRowHeight="16.5" x14ac:dyDescent="0.3"/>
  <cols>
    <col min="1" max="1" width="1.125" style="59" customWidth="1"/>
    <col min="2" max="2" width="1.5" style="59" customWidth="1"/>
    <col min="3" max="3" width="10.25" customWidth="1"/>
    <col min="5" max="5" width="2.5" customWidth="1"/>
    <col min="6" max="6" width="11.625" customWidth="1"/>
    <col min="7" max="7" width="5.625" style="58" customWidth="1"/>
    <col min="11" max="11" width="11.25" customWidth="1"/>
    <col min="12" max="12" width="4.875" style="58" customWidth="1"/>
    <col min="15" max="15" width="14.375" customWidth="1"/>
    <col min="17" max="18" width="9" style="59"/>
    <col min="19" max="22" width="9" style="58"/>
  </cols>
  <sheetData>
    <row r="1" spans="1:27" s="58" customFormat="1" ht="15" customHeight="1" x14ac:dyDescent="0.3">
      <c r="A1" s="59"/>
      <c r="B1" s="63"/>
      <c r="C1" s="183" t="s">
        <v>96</v>
      </c>
      <c r="D1" s="181"/>
      <c r="E1" s="181"/>
      <c r="F1" s="181"/>
      <c r="G1" s="20"/>
      <c r="H1" s="20"/>
      <c r="I1" s="60"/>
      <c r="J1" s="185" t="s">
        <v>83</v>
      </c>
      <c r="K1" s="60"/>
      <c r="L1" s="20"/>
      <c r="M1" s="181"/>
      <c r="N1" s="68" t="s">
        <v>100</v>
      </c>
      <c r="O1" s="187" t="str">
        <f>IF(Arquivos!O8="Completa","Completa","Incompleta")</f>
        <v>Completa</v>
      </c>
      <c r="P1" s="20"/>
      <c r="Q1" s="20"/>
      <c r="R1" s="20"/>
      <c r="S1" s="4"/>
      <c r="T1" s="4"/>
      <c r="U1" s="4"/>
      <c r="V1" s="4"/>
      <c r="W1" s="4"/>
      <c r="X1" s="4"/>
      <c r="Y1" s="4"/>
      <c r="Z1" s="4"/>
      <c r="AA1" s="4"/>
    </row>
    <row r="2" spans="1:27" s="58" customFormat="1" ht="15.75" customHeight="1" thickBot="1" x14ac:dyDescent="0.35">
      <c r="A2" s="59"/>
      <c r="B2" s="64"/>
      <c r="C2" s="184"/>
      <c r="D2" s="182"/>
      <c r="E2" s="182"/>
      <c r="F2" s="182"/>
      <c r="G2" s="61"/>
      <c r="H2" s="61"/>
      <c r="I2" s="62"/>
      <c r="J2" s="186"/>
      <c r="K2" s="62"/>
      <c r="L2" s="61"/>
      <c r="M2" s="182"/>
      <c r="N2" s="69"/>
      <c r="O2" s="188"/>
      <c r="P2" s="61"/>
      <c r="Q2" s="61"/>
      <c r="R2" s="61"/>
      <c r="S2" s="4"/>
      <c r="T2" s="4"/>
      <c r="U2" s="4"/>
      <c r="V2" s="4"/>
      <c r="W2" s="4"/>
      <c r="X2" s="4"/>
      <c r="Y2" s="4"/>
      <c r="Z2" s="4"/>
      <c r="AA2" s="4"/>
    </row>
    <row r="3" spans="1:27" s="4" customFormat="1" ht="3.75" customHeight="1" x14ac:dyDescent="0.3">
      <c r="A3" s="59"/>
      <c r="Q3" s="12"/>
      <c r="R3" s="12"/>
    </row>
    <row r="4" spans="1:27" x14ac:dyDescent="0.3">
      <c r="B4" s="4"/>
      <c r="C4" s="157" t="s">
        <v>79</v>
      </c>
      <c r="D4" s="158"/>
      <c r="E4" s="158"/>
      <c r="F4" s="159"/>
      <c r="G4" s="4"/>
      <c r="H4" s="163" t="s">
        <v>80</v>
      </c>
      <c r="I4" s="164"/>
      <c r="J4" s="164"/>
      <c r="K4" s="165"/>
      <c r="L4" s="4"/>
      <c r="M4" s="175" t="s">
        <v>82</v>
      </c>
      <c r="N4" s="176"/>
      <c r="O4" s="176"/>
      <c r="P4" s="177"/>
      <c r="Q4" s="12"/>
      <c r="R4" s="12"/>
      <c r="S4" s="4"/>
      <c r="T4" s="4"/>
      <c r="U4" s="4"/>
      <c r="V4" s="4"/>
      <c r="W4" s="4"/>
      <c r="X4" s="4"/>
      <c r="Y4" s="4"/>
      <c r="Z4" s="4"/>
      <c r="AA4" s="4"/>
    </row>
    <row r="5" spans="1:27" x14ac:dyDescent="0.3">
      <c r="B5" s="4"/>
      <c r="C5" s="160"/>
      <c r="D5" s="161"/>
      <c r="E5" s="161"/>
      <c r="F5" s="162"/>
      <c r="G5" s="4"/>
      <c r="H5" s="166"/>
      <c r="I5" s="167"/>
      <c r="J5" s="167"/>
      <c r="K5" s="168"/>
      <c r="L5" s="4"/>
      <c r="M5" s="178"/>
      <c r="N5" s="179"/>
      <c r="O5" s="179"/>
      <c r="P5" s="180"/>
      <c r="Q5" s="12"/>
      <c r="R5" s="12"/>
      <c r="S5" s="4"/>
      <c r="T5" s="4"/>
      <c r="U5" s="4"/>
      <c r="V5" s="4"/>
      <c r="W5" s="4"/>
      <c r="X5" s="4"/>
      <c r="Y5" s="4"/>
      <c r="Z5" s="4"/>
      <c r="AA5" s="4"/>
    </row>
    <row r="6" spans="1:27" s="58" customFormat="1" ht="6" customHeight="1" x14ac:dyDescent="0.3">
      <c r="A6" s="59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12"/>
      <c r="R6" s="12"/>
      <c r="S6" s="4"/>
      <c r="T6" s="4"/>
      <c r="U6" s="4"/>
      <c r="V6" s="4"/>
      <c r="W6" s="4"/>
      <c r="X6" s="4"/>
      <c r="Y6" s="4"/>
      <c r="Z6" s="4"/>
      <c r="AA6" s="4"/>
    </row>
    <row r="7" spans="1:27" ht="24.75" customHeight="1" x14ac:dyDescent="0.3">
      <c r="B7" s="4"/>
      <c r="C7" s="169" t="str">
        <f>Arquivos!Q8</f>
        <v>23,6 GB</v>
      </c>
      <c r="D7" s="170"/>
      <c r="E7" s="170"/>
      <c r="F7" s="171"/>
      <c r="G7" s="4"/>
      <c r="H7" s="169" t="str">
        <f>Arquivos!T8</f>
        <v>1.28 TB</v>
      </c>
      <c r="I7" s="170"/>
      <c r="J7" s="170"/>
      <c r="K7" s="171"/>
      <c r="L7" s="4"/>
      <c r="M7" s="169">
        <f>Arquivos!S8</f>
        <v>95149</v>
      </c>
      <c r="N7" s="170"/>
      <c r="O7" s="170"/>
      <c r="P7" s="171"/>
      <c r="Q7" s="12"/>
      <c r="R7" s="12"/>
      <c r="S7" s="4"/>
      <c r="T7" s="4"/>
      <c r="U7" s="4"/>
      <c r="V7" s="4"/>
      <c r="W7" s="4"/>
      <c r="X7" s="4"/>
      <c r="Y7" s="4"/>
      <c r="Z7" s="4"/>
      <c r="AA7" s="4"/>
    </row>
    <row r="8" spans="1:27" ht="21.75" customHeight="1" x14ac:dyDescent="0.3">
      <c r="B8" s="4"/>
      <c r="C8" s="172"/>
      <c r="D8" s="173"/>
      <c r="E8" s="173"/>
      <c r="F8" s="174"/>
      <c r="G8" s="4"/>
      <c r="H8" s="172"/>
      <c r="I8" s="173"/>
      <c r="J8" s="173"/>
      <c r="K8" s="174"/>
      <c r="L8" s="4"/>
      <c r="M8" s="172"/>
      <c r="N8" s="173"/>
      <c r="O8" s="173"/>
      <c r="P8" s="174"/>
      <c r="Q8" s="12"/>
      <c r="R8" s="12"/>
      <c r="S8" s="4"/>
      <c r="T8" s="4"/>
      <c r="U8" s="4"/>
      <c r="V8" s="4"/>
      <c r="W8" s="4"/>
      <c r="X8" s="4"/>
      <c r="Y8" s="4"/>
      <c r="Z8" s="4"/>
      <c r="AA8" s="4"/>
    </row>
    <row r="9" spans="1:27" s="58" customFormat="1" x14ac:dyDescent="0.3">
      <c r="A9" s="59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12"/>
      <c r="R9" s="12"/>
      <c r="S9" s="4"/>
      <c r="T9" s="4"/>
      <c r="U9" s="4"/>
      <c r="V9" s="4"/>
      <c r="W9" s="4"/>
      <c r="X9" s="4"/>
      <c r="Y9" s="4"/>
      <c r="Z9" s="4"/>
      <c r="AA9" s="4"/>
    </row>
    <row r="10" spans="1:27" x14ac:dyDescent="0.3">
      <c r="B10" s="4"/>
      <c r="C10" s="151" t="s">
        <v>95</v>
      </c>
      <c r="D10" s="152"/>
      <c r="E10" s="152"/>
      <c r="F10" s="153"/>
      <c r="G10" s="4"/>
      <c r="H10" s="157" t="s">
        <v>81</v>
      </c>
      <c r="I10" s="158"/>
      <c r="J10" s="158"/>
      <c r="K10" s="159"/>
      <c r="L10" s="4"/>
      <c r="M10" s="4"/>
      <c r="N10" s="4"/>
      <c r="O10" s="4"/>
      <c r="P10" s="4"/>
      <c r="Q10" s="12"/>
      <c r="R10" s="12"/>
      <c r="S10" s="4"/>
      <c r="T10" s="4"/>
      <c r="U10" s="4"/>
      <c r="V10" s="4"/>
      <c r="W10" s="4"/>
      <c r="X10" s="4"/>
      <c r="Y10" s="4"/>
      <c r="Z10" s="4"/>
      <c r="AA10" s="4"/>
    </row>
    <row r="11" spans="1:27" x14ac:dyDescent="0.3">
      <c r="B11" s="4"/>
      <c r="C11" s="154"/>
      <c r="D11" s="155"/>
      <c r="E11" s="155"/>
      <c r="F11" s="156"/>
      <c r="G11" s="4"/>
      <c r="H11" s="160"/>
      <c r="I11" s="161"/>
      <c r="J11" s="161"/>
      <c r="K11" s="162"/>
      <c r="L11" s="4"/>
      <c r="M11" s="4"/>
      <c r="N11" s="4"/>
      <c r="O11" s="4"/>
      <c r="P11" s="4"/>
      <c r="Q11" s="12"/>
      <c r="R11" s="12"/>
      <c r="S11" s="4"/>
      <c r="T11" s="4"/>
      <c r="U11" s="4"/>
      <c r="V11" s="4"/>
      <c r="W11" s="4"/>
      <c r="X11" s="4"/>
      <c r="Y11" s="4"/>
      <c r="Z11" s="4"/>
      <c r="AA11" s="4"/>
    </row>
    <row r="12" spans="1:27" s="58" customFormat="1" ht="6" customHeight="1" x14ac:dyDescent="0.3">
      <c r="A12" s="59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12"/>
      <c r="R12" s="12"/>
      <c r="S12" s="4"/>
      <c r="T12" s="4"/>
      <c r="U12" s="4"/>
      <c r="V12" s="4"/>
      <c r="W12" s="4"/>
      <c r="X12" s="4"/>
      <c r="Y12" s="4"/>
      <c r="Z12" s="4"/>
      <c r="AA12" s="4"/>
    </row>
    <row r="13" spans="1:27" ht="26.25" customHeight="1" x14ac:dyDescent="0.3">
      <c r="B13" s="4"/>
      <c r="C13" s="139">
        <f>IF(Arquivos!$V$9=1,Arquivos!N4,IF(Arquivos!$V$9=2,Protheus!M4,'Banco de Dados'!S10))</f>
        <v>180</v>
      </c>
      <c r="D13" s="140"/>
      <c r="E13" s="140"/>
      <c r="F13" s="141"/>
      <c r="G13" s="4"/>
      <c r="H13" s="145" t="str">
        <f>Arquivos!R8</f>
        <v xml:space="preserve">2 Horas, 8 Minutos, 19 Segundos </v>
      </c>
      <c r="I13" s="146"/>
      <c r="J13" s="146"/>
      <c r="K13" s="147"/>
      <c r="L13" s="4"/>
      <c r="M13" s="4"/>
      <c r="N13" s="4"/>
      <c r="O13" s="4"/>
      <c r="P13" s="4"/>
      <c r="Q13" s="12"/>
      <c r="R13" s="12"/>
      <c r="S13" s="4"/>
      <c r="T13" s="4"/>
      <c r="U13" s="4"/>
      <c r="V13" s="4"/>
      <c r="W13" s="4"/>
      <c r="X13" s="4"/>
      <c r="Y13" s="4"/>
      <c r="Z13" s="4"/>
      <c r="AA13" s="4"/>
    </row>
    <row r="14" spans="1:27" ht="20.25" customHeight="1" x14ac:dyDescent="0.3">
      <c r="B14" s="4"/>
      <c r="C14" s="142"/>
      <c r="D14" s="143"/>
      <c r="E14" s="143"/>
      <c r="F14" s="144"/>
      <c r="G14" s="4"/>
      <c r="H14" s="148"/>
      <c r="I14" s="149"/>
      <c r="J14" s="149"/>
      <c r="K14" s="150"/>
      <c r="L14" s="4"/>
      <c r="M14" s="4"/>
      <c r="N14" s="4"/>
      <c r="O14" s="4"/>
      <c r="P14" s="4"/>
      <c r="Q14" s="12"/>
      <c r="R14" s="12"/>
      <c r="S14" s="4"/>
      <c r="T14" s="4"/>
      <c r="U14" s="4"/>
      <c r="V14" s="4"/>
      <c r="W14" s="4"/>
      <c r="X14" s="4"/>
      <c r="Y14" s="4"/>
      <c r="Z14" s="4"/>
      <c r="AA14" s="4"/>
    </row>
    <row r="15" spans="1:27" s="58" customFormat="1" x14ac:dyDescent="0.3">
      <c r="A15" s="59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12"/>
      <c r="R15" s="12"/>
      <c r="S15" s="4"/>
      <c r="T15" s="4"/>
      <c r="U15" s="4"/>
      <c r="V15" s="4"/>
      <c r="W15" s="4"/>
      <c r="X15" s="4"/>
      <c r="Y15" s="4"/>
      <c r="Z15" s="4"/>
      <c r="AA15" s="4"/>
    </row>
    <row r="16" spans="1:27" s="58" customFormat="1" x14ac:dyDescent="0.3">
      <c r="A16" s="59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12"/>
      <c r="R16" s="12"/>
      <c r="S16" s="4"/>
      <c r="T16" s="4"/>
      <c r="U16" s="4"/>
      <c r="V16" s="4"/>
      <c r="W16" s="4"/>
      <c r="X16" s="4"/>
      <c r="Y16" s="4"/>
      <c r="Z16" s="4"/>
      <c r="AA16" s="4"/>
    </row>
    <row r="17" spans="1:27" s="58" customFormat="1" x14ac:dyDescent="0.3">
      <c r="A17" s="59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12"/>
      <c r="R17" s="12"/>
      <c r="S17" s="4"/>
      <c r="T17" s="4"/>
      <c r="U17" s="4"/>
      <c r="V17" s="4"/>
      <c r="W17" s="4"/>
      <c r="X17" s="4"/>
      <c r="Y17" s="4"/>
      <c r="Z17" s="4"/>
      <c r="AA17" s="4"/>
    </row>
    <row r="18" spans="1:27" s="58" customFormat="1" x14ac:dyDescent="0.3">
      <c r="A18" s="59"/>
      <c r="B18" s="59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12"/>
      <c r="R18" s="12"/>
      <c r="S18" s="4"/>
      <c r="T18" s="4"/>
      <c r="U18" s="4"/>
      <c r="V18" s="4"/>
      <c r="W18" s="4"/>
      <c r="X18" s="4"/>
      <c r="Y18" s="4"/>
      <c r="Z18" s="4"/>
      <c r="AA18" s="4"/>
    </row>
    <row r="19" spans="1:27" x14ac:dyDescent="0.3"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</row>
    <row r="20" spans="1:27" x14ac:dyDescent="0.3"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</row>
    <row r="21" spans="1:27" x14ac:dyDescent="0.3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</row>
    <row r="22" spans="1:27" x14ac:dyDescent="0.3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</row>
    <row r="23" spans="1:27" x14ac:dyDescent="0.3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</row>
    <row r="24" spans="1:27" x14ac:dyDescent="0.3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</row>
    <row r="25" spans="1:27" x14ac:dyDescent="0.3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</row>
    <row r="26" spans="1:27" x14ac:dyDescent="0.3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</row>
    <row r="27" spans="1:27" x14ac:dyDescent="0.3"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</row>
    <row r="28" spans="1:27" x14ac:dyDescent="0.3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</row>
    <row r="29" spans="1:27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</row>
    <row r="30" spans="1:27" x14ac:dyDescent="0.3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</row>
    <row r="31" spans="1:27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</row>
    <row r="32" spans="1:27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</row>
    <row r="33" spans="2:2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</row>
    <row r="34" spans="2:2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</row>
    <row r="35" spans="2:2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</row>
    <row r="36" spans="2:2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</row>
    <row r="37" spans="2:2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</row>
    <row r="38" spans="2:2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</row>
    <row r="39" spans="2:2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</row>
    <row r="40" spans="2:2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</row>
    <row r="41" spans="2:2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</row>
    <row r="42" spans="2:2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</row>
    <row r="43" spans="2:2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</row>
    <row r="44" spans="2:2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</row>
    <row r="45" spans="2:2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</row>
    <row r="46" spans="2:2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</row>
    <row r="47" spans="2:2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</row>
    <row r="48" spans="2:2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</row>
    <row r="49" spans="2:2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</row>
    <row r="50" spans="2:2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</row>
    <row r="51" spans="2:2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</row>
    <row r="52" spans="2:2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</row>
    <row r="53" spans="2:2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</row>
    <row r="54" spans="2:2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</row>
    <row r="55" spans="2:2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</row>
    <row r="56" spans="2:2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</row>
    <row r="57" spans="2:2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</row>
    <row r="58" spans="2:2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</row>
    <row r="59" spans="2:2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</row>
    <row r="60" spans="2:2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</row>
    <row r="61" spans="2:2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</row>
    <row r="62" spans="2:2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</row>
    <row r="63" spans="2:2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</row>
    <row r="64" spans="2:2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</row>
  </sheetData>
  <mergeCells count="15">
    <mergeCell ref="M7:P8"/>
    <mergeCell ref="M4:P5"/>
    <mergeCell ref="D1:F2"/>
    <mergeCell ref="C1:C2"/>
    <mergeCell ref="J1:J2"/>
    <mergeCell ref="M1:M2"/>
    <mergeCell ref="H7:K8"/>
    <mergeCell ref="C7:F8"/>
    <mergeCell ref="O1:O2"/>
    <mergeCell ref="C13:F14"/>
    <mergeCell ref="H13:K14"/>
    <mergeCell ref="C10:F11"/>
    <mergeCell ref="H10:K11"/>
    <mergeCell ref="C4:F5"/>
    <mergeCell ref="H4:K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Drop Down 1">
              <controlPr defaultSize="0" autoLine="0" autoPict="0">
                <anchor moveWithCells="1">
                  <from>
                    <xdr:col>9</xdr:col>
                    <xdr:colOff>571500</xdr:colOff>
                    <xdr:row>0</xdr:row>
                    <xdr:rowOff>76200</xdr:rowOff>
                  </from>
                  <to>
                    <xdr:col>12</xdr:col>
                    <xdr:colOff>333375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Drop Down 2">
              <controlPr defaultSize="0" autoLine="0" autoPict="0">
                <anchor>
                  <from>
                    <xdr:col>3</xdr:col>
                    <xdr:colOff>85725</xdr:colOff>
                    <xdr:row>0</xdr:row>
                    <xdr:rowOff>76200</xdr:rowOff>
                  </from>
                  <to>
                    <xdr:col>7</xdr:col>
                    <xdr:colOff>647700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ACF3EF7-A97D-4FA9-936C-D6C4011CCE62}">
            <xm:f>Arquivos!$O$8="Completa"</xm:f>
            <x14:dxf>
              <font>
                <color rgb="FF00B050"/>
              </font>
            </x14:dxf>
          </x14:cfRule>
          <x14:cfRule type="expression" priority="9" id="{4E103E36-7EC4-492E-BD37-A914B91BFB0B}">
            <xm:f>Arquivos!$O$8="Incompleta"</xm:f>
            <x14:dxf>
              <font>
                <color rgb="FFFF0000"/>
              </font>
            </x14:dxf>
          </x14:cfRule>
          <xm:sqref>N1:O1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F2880-981B-4024-A97E-532F6A01654D}">
  <sheetPr codeName="Planilha9"/>
  <dimension ref="A1"/>
  <sheetViews>
    <sheetView zoomScale="145" zoomScaleNormal="145" workbookViewId="0"/>
  </sheetViews>
  <sheetFormatPr defaultRowHeight="16.5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696F4-0D91-4E3B-8ED9-67F5C3BD2E3B}">
  <sheetPr codeName="Planilha11"/>
  <dimension ref="A1:L2"/>
  <sheetViews>
    <sheetView workbookViewId="0">
      <selection sqref="A1:L2"/>
    </sheetView>
  </sheetViews>
  <sheetFormatPr defaultRowHeight="16.5" x14ac:dyDescent="0.3"/>
  <cols>
    <col min="1" max="1" width="10.75" bestFit="1" customWidth="1"/>
    <col min="2" max="2" width="20.5" bestFit="1" customWidth="1"/>
    <col min="3" max="3" width="18.375" bestFit="1" customWidth="1"/>
    <col min="4" max="4" width="31.125" bestFit="1" customWidth="1"/>
    <col min="5" max="5" width="30.375" bestFit="1" customWidth="1"/>
    <col min="6" max="6" width="34.125" bestFit="1" customWidth="1"/>
    <col min="7" max="7" width="20.25" bestFit="1" customWidth="1"/>
    <col min="8" max="8" width="22.5" bestFit="1" customWidth="1"/>
    <col min="9" max="9" width="32.875" bestFit="1" customWidth="1"/>
    <col min="10" max="10" width="31.125" bestFit="1" customWidth="1"/>
    <col min="11" max="11" width="21" bestFit="1" customWidth="1"/>
    <col min="12" max="12" width="62.125" bestFit="1" customWidth="1"/>
    <col min="13" max="13" width="21" bestFit="1" customWidth="1"/>
    <col min="14" max="14" width="62.125" bestFit="1" customWidth="1"/>
    <col min="15" max="15" width="11.125" bestFit="1" customWidth="1"/>
    <col min="16" max="16" width="16.625" bestFit="1" customWidth="1"/>
    <col min="17" max="17" width="14.5" bestFit="1" customWidth="1"/>
    <col min="18" max="18" width="32.125" bestFit="1" customWidth="1"/>
    <col min="19" max="19" width="28" bestFit="1" customWidth="1"/>
    <col min="20" max="20" width="32.125" bestFit="1" customWidth="1"/>
    <col min="21" max="21" width="17.875" bestFit="1" customWidth="1"/>
    <col min="22" max="22" width="22.5" bestFit="1" customWidth="1"/>
    <col min="23" max="23" width="32.875" bestFit="1" customWidth="1"/>
    <col min="24" max="24" width="31.125" bestFit="1" customWidth="1"/>
    <col min="25" max="25" width="16.625" bestFit="1" customWidth="1"/>
    <col min="26" max="26" width="59" customWidth="1"/>
    <col min="27" max="27" width="32.875" bestFit="1" customWidth="1"/>
    <col min="28" max="29" width="4.875" bestFit="1" customWidth="1"/>
  </cols>
  <sheetData>
    <row r="1" spans="1:12" x14ac:dyDescent="0.3">
      <c r="A1" t="s">
        <v>69</v>
      </c>
      <c r="B1" t="s">
        <v>391</v>
      </c>
      <c r="C1" t="s">
        <v>392</v>
      </c>
      <c r="D1" t="s">
        <v>365</v>
      </c>
      <c r="E1" t="s">
        <v>359</v>
      </c>
      <c r="F1" t="s">
        <v>366</v>
      </c>
      <c r="G1" t="s">
        <v>368</v>
      </c>
      <c r="H1" t="s">
        <v>360</v>
      </c>
      <c r="I1" t="s">
        <v>370</v>
      </c>
      <c r="J1" t="s">
        <v>363</v>
      </c>
      <c r="K1" t="s">
        <v>387</v>
      </c>
      <c r="L1" t="s">
        <v>376</v>
      </c>
    </row>
    <row r="2" spans="1:12" x14ac:dyDescent="0.3">
      <c r="A2" s="39" t="s">
        <v>358</v>
      </c>
      <c r="B2" s="32">
        <v>43713</v>
      </c>
      <c r="C2" s="32">
        <v>43713</v>
      </c>
      <c r="D2" s="39" t="s">
        <v>395</v>
      </c>
      <c r="E2" s="39" t="s">
        <v>388</v>
      </c>
      <c r="F2">
        <v>40975</v>
      </c>
      <c r="G2" s="39" t="s">
        <v>369</v>
      </c>
      <c r="H2" s="39" t="s">
        <v>361</v>
      </c>
      <c r="I2" s="39" t="s">
        <v>362</v>
      </c>
      <c r="J2" s="39" t="s">
        <v>375</v>
      </c>
      <c r="K2" s="39" t="s">
        <v>396</v>
      </c>
      <c r="L2" s="39" t="s">
        <v>358</v>
      </c>
    </row>
  </sheetData>
  <phoneticPr fontId="2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CC16B-BBF6-436E-98FD-FDC8FCD6FFC3}">
  <sheetPr codeName="Planilha12"/>
  <dimension ref="A1:N101"/>
  <sheetViews>
    <sheetView workbookViewId="0">
      <selection activeCell="F13" sqref="F13"/>
    </sheetView>
  </sheetViews>
  <sheetFormatPr defaultRowHeight="16.5" x14ac:dyDescent="0.3"/>
  <cols>
    <col min="1" max="1" width="10.5" bestFit="1" customWidth="1"/>
    <col min="2" max="2" width="20.5" bestFit="1" customWidth="1"/>
    <col min="3" max="3" width="18.375" bestFit="1" customWidth="1"/>
    <col min="4" max="4" width="32.125" bestFit="1" customWidth="1"/>
    <col min="5" max="5" width="30.375" bestFit="1" customWidth="1"/>
    <col min="6" max="6" width="34.125" bestFit="1" customWidth="1"/>
    <col min="7" max="7" width="42.375" bestFit="1" customWidth="1"/>
    <col min="8" max="8" width="20.25" bestFit="1" customWidth="1"/>
    <col min="9" max="9" width="22.5" bestFit="1" customWidth="1"/>
    <col min="10" max="10" width="32.875" bestFit="1" customWidth="1"/>
    <col min="11" max="11" width="27.625" bestFit="1" customWidth="1"/>
    <col min="12" max="12" width="21" bestFit="1" customWidth="1"/>
    <col min="13" max="13" width="27.625" bestFit="1" customWidth="1"/>
    <col min="14" max="14" width="21" bestFit="1" customWidth="1"/>
    <col min="15" max="15" width="11.125" bestFit="1" customWidth="1"/>
    <col min="16" max="16" width="16.625" bestFit="1" customWidth="1"/>
    <col min="17" max="17" width="14.5" bestFit="1" customWidth="1"/>
    <col min="18" max="18" width="30.25" bestFit="1" customWidth="1"/>
    <col min="19" max="19" width="28" bestFit="1" customWidth="1"/>
    <col min="20" max="20" width="32.125" bestFit="1" customWidth="1"/>
    <col min="21" max="21" width="40" bestFit="1" customWidth="1"/>
    <col min="22" max="22" width="17.875" bestFit="1" customWidth="1"/>
    <col min="23" max="23" width="22.5" bestFit="1" customWidth="1"/>
    <col min="24" max="24" width="32.875" bestFit="1" customWidth="1"/>
    <col min="25" max="25" width="27.625" bestFit="1" customWidth="1"/>
    <col min="26" max="26" width="16.625" bestFit="1" customWidth="1"/>
    <col min="27" max="27" width="40" bestFit="1" customWidth="1"/>
    <col min="28" max="29" width="32.875" bestFit="1" customWidth="1"/>
    <col min="30" max="30" width="16.625" bestFit="1" customWidth="1"/>
    <col min="31" max="31" width="14.5" bestFit="1" customWidth="1"/>
    <col min="32" max="32" width="32.375" bestFit="1" customWidth="1"/>
    <col min="33" max="33" width="28" bestFit="1" customWidth="1"/>
    <col min="34" max="34" width="32.125" bestFit="1" customWidth="1"/>
    <col min="35" max="35" width="40" bestFit="1" customWidth="1"/>
    <col min="36" max="36" width="17.875" bestFit="1" customWidth="1"/>
    <col min="37" max="37" width="22.5" bestFit="1" customWidth="1"/>
    <col min="38" max="38" width="32.875" bestFit="1" customWidth="1"/>
    <col min="39" max="39" width="27.625" bestFit="1" customWidth="1"/>
    <col min="40" max="40" width="16.625" bestFit="1" customWidth="1"/>
    <col min="41" max="41" width="58.5" bestFit="1" customWidth="1"/>
    <col min="42" max="43" width="4.875" bestFit="1" customWidth="1"/>
    <col min="44" max="44" width="58.5" bestFit="1" customWidth="1"/>
    <col min="45" max="46" width="11.125" bestFit="1" customWidth="1"/>
  </cols>
  <sheetData>
    <row r="1" spans="1:14" x14ac:dyDescent="0.3">
      <c r="A1" t="s">
        <v>30</v>
      </c>
      <c r="B1" t="s">
        <v>391</v>
      </c>
      <c r="C1" t="s">
        <v>392</v>
      </c>
      <c r="D1" t="s">
        <v>365</v>
      </c>
      <c r="E1" t="s">
        <v>359</v>
      </c>
      <c r="F1" t="s">
        <v>366</v>
      </c>
      <c r="G1" t="s">
        <v>367</v>
      </c>
      <c r="H1" t="s">
        <v>368</v>
      </c>
      <c r="I1" t="s">
        <v>360</v>
      </c>
      <c r="J1" t="s">
        <v>370</v>
      </c>
      <c r="K1" t="s">
        <v>363</v>
      </c>
      <c r="L1" t="s">
        <v>387</v>
      </c>
    </row>
    <row r="2" spans="1:14" x14ac:dyDescent="0.3">
      <c r="A2" s="39" t="s">
        <v>358</v>
      </c>
      <c r="B2" s="32">
        <v>43715</v>
      </c>
      <c r="C2" s="32">
        <v>43715</v>
      </c>
      <c r="D2" s="39" t="s">
        <v>400</v>
      </c>
      <c r="E2" s="39" t="s">
        <v>401</v>
      </c>
      <c r="F2" s="39" t="s">
        <v>402</v>
      </c>
      <c r="G2" s="39" t="s">
        <v>403</v>
      </c>
      <c r="H2" s="39" t="s">
        <v>369</v>
      </c>
      <c r="I2" s="39" t="s">
        <v>361</v>
      </c>
      <c r="J2" s="39" t="s">
        <v>362</v>
      </c>
      <c r="K2" s="39" t="s">
        <v>364</v>
      </c>
      <c r="L2" s="39" t="s">
        <v>404</v>
      </c>
      <c r="N2" s="32"/>
    </row>
    <row r="100" spans="8:8" x14ac:dyDescent="0.3">
      <c r="H100" t="b">
        <v>1</v>
      </c>
    </row>
    <row r="101" spans="8:8" x14ac:dyDescent="0.3">
      <c r="H101" t="b">
        <v>1</v>
      </c>
    </row>
  </sheetData>
  <dataConsolidate/>
  <phoneticPr fontId="2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26714CF4-7EBC-46C5-BCC4-16280D144323}">
  <ds:schemaRefs/>
</ds:datastoreItem>
</file>

<file path=customXml/itemProps2.xml><?xml version="1.0" encoding="utf-8"?>
<ds:datastoreItem xmlns:ds="http://schemas.openxmlformats.org/officeDocument/2006/customXml" ds:itemID="{E02F8E70-89D2-467C-AECC-3C31186DB76A}">
  <ds:schemaRefs/>
</ds:datastoreItem>
</file>

<file path=customXml/itemProps3.xml><?xml version="1.0" encoding="utf-8"?>
<ds:datastoreItem xmlns:ds="http://schemas.openxmlformats.org/officeDocument/2006/customXml" ds:itemID="{ECEEFD10-5A08-4FC1-8262-3BEA8EC53B52}">
  <ds:schemaRefs/>
</ds:datastoreItem>
</file>

<file path=customXml/itemProps4.xml><?xml version="1.0" encoding="utf-8"?>
<ds:datastoreItem xmlns:ds="http://schemas.openxmlformats.org/officeDocument/2006/customXml" ds:itemID="{DC54AC72-46B2-4B29-8469-545F54AB9CE0}">
  <ds:schemaRefs/>
</ds:datastoreItem>
</file>

<file path=customXml/itemProps5.xml><?xml version="1.0" encoding="utf-8"?>
<ds:datastoreItem xmlns:ds="http://schemas.openxmlformats.org/officeDocument/2006/customXml" ds:itemID="{3856A1A3-8AD5-47BE-B6FB-09B969F74DA2}">
  <ds:schemaRefs/>
</ds:datastoreItem>
</file>

<file path=customXml/itemProps6.xml><?xml version="1.0" encoding="utf-8"?>
<ds:datastoreItem xmlns:ds="http://schemas.openxmlformats.org/officeDocument/2006/customXml" ds:itemID="{D580BDCA-038B-4AB7-B3C0-D484A204FCDD}">
  <ds:schemaRefs/>
</ds:datastoreItem>
</file>

<file path=customXml/itemProps7.xml><?xml version="1.0" encoding="utf-8"?>
<ds:datastoreItem xmlns:ds="http://schemas.openxmlformats.org/officeDocument/2006/customXml" ds:itemID="{493EE04A-C309-490B-83B1-8C3EB5F4D67E}">
  <ds:schemaRefs/>
</ds:datastoreItem>
</file>

<file path=customXml/itemProps8.xml><?xml version="1.0" encoding="utf-8"?>
<ds:datastoreItem xmlns:ds="http://schemas.openxmlformats.org/officeDocument/2006/customXml" ds:itemID="{685CE443-574B-4F86-BE37-7CA97352E68A}">
  <ds:schemaRefs/>
</ds:datastoreItem>
</file>

<file path=customXml/itemProps9.xml><?xml version="1.0" encoding="utf-8"?>
<ds:datastoreItem xmlns:ds="http://schemas.openxmlformats.org/officeDocument/2006/customXml" ds:itemID="{3EACC10D-DFDD-4BF6-8AAC-B3F9652CFE57}">
  <ds:schemaRefs/>
</ds:datastoreItem>
</file>

<file path=customXml/itemProps10.xml><?xml version="1.0" encoding="utf-8"?>
<ds:datastoreItem xmlns:ds="http://schemas.openxmlformats.org/officeDocument/2006/customXml" ds:itemID="{D84B63B7-CD96-4012-AC9A-2FCC095DB0AB}">
  <ds:schemaRefs/>
</ds:datastoreItem>
</file>

<file path=customXml/itemProps11.xml><?xml version="1.0" encoding="utf-8"?>
<ds:datastoreItem xmlns:ds="http://schemas.openxmlformats.org/officeDocument/2006/customXml" ds:itemID="{FD90E35F-D150-48A7-B41A-E2A11A3097FE}">
  <ds:schemaRefs/>
</ds:datastoreItem>
</file>

<file path=customXml/itemProps12.xml><?xml version="1.0" encoding="utf-8"?>
<ds:datastoreItem xmlns:ds="http://schemas.openxmlformats.org/officeDocument/2006/customXml" ds:itemID="{31D47715-B504-4916-9A72-81B414DB1ADF}">
  <ds:schemaRefs/>
</ds:datastoreItem>
</file>

<file path=customXml/itemProps13.xml><?xml version="1.0" encoding="utf-8"?>
<ds:datastoreItem xmlns:ds="http://schemas.openxmlformats.org/officeDocument/2006/customXml" ds:itemID="{C9E4DD7E-A515-46C4-BC27-06591A1D52A2}">
  <ds:schemaRefs/>
</ds:datastoreItem>
</file>

<file path=customXml/itemProps14.xml><?xml version="1.0" encoding="utf-8"?>
<ds:datastoreItem xmlns:ds="http://schemas.openxmlformats.org/officeDocument/2006/customXml" ds:itemID="{328DF307-55BF-4A9B-9E49-B67E37F25526}">
  <ds:schemaRefs/>
</ds:datastoreItem>
</file>

<file path=customXml/itemProps15.xml><?xml version="1.0" encoding="utf-8"?>
<ds:datastoreItem xmlns:ds="http://schemas.openxmlformats.org/officeDocument/2006/customXml" ds:itemID="{8A278746-7EED-46C1-846A-9C6B65E71161}">
  <ds:schemaRefs/>
</ds:datastoreItem>
</file>

<file path=customXml/itemProps16.xml><?xml version="1.0" encoding="utf-8"?>
<ds:datastoreItem xmlns:ds="http://schemas.openxmlformats.org/officeDocument/2006/customXml" ds:itemID="{302BFE02-0FB8-428C-883B-32D705404855}">
  <ds:schemaRefs/>
</ds:datastoreItem>
</file>

<file path=customXml/itemProps17.xml><?xml version="1.0" encoding="utf-8"?>
<ds:datastoreItem xmlns:ds="http://schemas.openxmlformats.org/officeDocument/2006/customXml" ds:itemID="{BF02B879-8368-4424-B234-6EBFDB770BCE}">
  <ds:schemaRefs/>
</ds:datastoreItem>
</file>

<file path=customXml/itemProps18.xml><?xml version="1.0" encoding="utf-8"?>
<ds:datastoreItem xmlns:ds="http://schemas.openxmlformats.org/officeDocument/2006/customXml" ds:itemID="{CFEB9D47-1706-403B-AFE1-2CE01F521B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DataBase</vt:lpstr>
      <vt:lpstr>Summary</vt:lpstr>
      <vt:lpstr>Tab. Dinâmica</vt:lpstr>
      <vt:lpstr>Teste</vt:lpstr>
      <vt:lpstr>Arquivos</vt:lpstr>
      <vt:lpstr>Protheus</vt:lpstr>
      <vt:lpstr>Dashboard</vt:lpstr>
      <vt:lpstr>Banco de Dados</vt:lpstr>
      <vt:lpstr>Planilha13</vt:lpstr>
      <vt:lpstr>Planilha1</vt:lpstr>
      <vt:lpstr>Arquivos att</vt:lpstr>
      <vt:lpstr>Protheus att</vt:lpstr>
      <vt:lpstr>Dashboard!Area_de_impressao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Dashboard BKP</dc:title>
  <dc:creator>CHRISTOPHER MARIM</dc:creator>
  <cp:keywords>ETM</cp:keywords>
  <cp:lastModifiedBy>Christopher Marim</cp:lastModifiedBy>
  <dcterms:created xsi:type="dcterms:W3CDTF">2017-05-10T15:46:13Z</dcterms:created>
  <dcterms:modified xsi:type="dcterms:W3CDTF">2020-09-12T01:29:58Z</dcterms:modified>
</cp:coreProperties>
</file>